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1835" windowHeight="12345"/>
  </bookViews>
  <sheets>
    <sheet name="Sheet2" sheetId="2" r:id="rId1"/>
  </sheets>
  <calcPr calcId="145621"/>
</workbook>
</file>

<file path=xl/calcChain.xml><?xml version="1.0" encoding="utf-8"?>
<calcChain xmlns="http://schemas.openxmlformats.org/spreadsheetml/2006/main">
  <c r="B128" i="2" l="1"/>
  <c r="C128" i="2" s="1"/>
  <c r="B123" i="2"/>
  <c r="B124" i="2" s="1"/>
  <c r="C114" i="2"/>
  <c r="B114" i="2"/>
  <c r="B115" i="2" s="1"/>
  <c r="B113" i="2"/>
  <c r="C113" i="2" s="1"/>
  <c r="C112" i="2"/>
  <c r="B109" i="2"/>
  <c r="B110" i="2" s="1"/>
  <c r="B95" i="2"/>
  <c r="B96" i="2" s="1"/>
  <c r="C94" i="2"/>
  <c r="B94" i="2"/>
  <c r="C93" i="2"/>
  <c r="B91" i="2"/>
  <c r="C91" i="2" s="1"/>
  <c r="B90" i="2"/>
  <c r="C90" i="2" s="1"/>
  <c r="B89" i="2"/>
  <c r="C89" i="2" s="1"/>
  <c r="B87" i="2"/>
  <c r="C87" i="2" s="1"/>
  <c r="B88" i="2"/>
  <c r="C88" i="2" s="1"/>
  <c r="B86" i="2"/>
  <c r="C86" i="2" s="1"/>
  <c r="B80" i="2"/>
  <c r="B81" i="2" s="1"/>
  <c r="B79" i="2"/>
  <c r="C79" i="2" s="1"/>
  <c r="B67" i="2"/>
  <c r="C67" i="2" s="1"/>
  <c r="C66" i="2"/>
  <c r="B66" i="2"/>
  <c r="C65" i="2"/>
  <c r="B40" i="2"/>
  <c r="B41" i="2" s="1"/>
  <c r="B39" i="2"/>
  <c r="B38" i="2"/>
  <c r="C39" i="2"/>
  <c r="C38" i="2"/>
  <c r="C37" i="2"/>
  <c r="C35" i="2"/>
  <c r="C25" i="2"/>
  <c r="C26" i="2"/>
  <c r="C27" i="2"/>
  <c r="C28" i="2"/>
  <c r="C29" i="2"/>
  <c r="C30" i="2"/>
  <c r="C31" i="2"/>
  <c r="C32" i="2"/>
  <c r="C33" i="2"/>
  <c r="C34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25" i="2" l="1"/>
  <c r="C124" i="2"/>
  <c r="C123" i="2"/>
  <c r="B116" i="2"/>
  <c r="C115" i="2"/>
  <c r="C110" i="2"/>
  <c r="C109" i="2"/>
  <c r="C96" i="2"/>
  <c r="B97" i="2"/>
  <c r="C95" i="2"/>
  <c r="C81" i="2"/>
  <c r="B82" i="2"/>
  <c r="C80" i="2"/>
  <c r="B68" i="2"/>
  <c r="C41" i="2"/>
  <c r="B42" i="2"/>
  <c r="C40" i="2"/>
  <c r="B126" i="2" l="1"/>
  <c r="C125" i="2"/>
  <c r="C116" i="2"/>
  <c r="B117" i="2"/>
  <c r="C97" i="2"/>
  <c r="B98" i="2"/>
  <c r="B83" i="2"/>
  <c r="C82" i="2"/>
  <c r="C68" i="2"/>
  <c r="B69" i="2"/>
  <c r="B43" i="2"/>
  <c r="C42" i="2"/>
  <c r="B127" i="2" l="1"/>
  <c r="C127" i="2" s="1"/>
  <c r="C126" i="2"/>
  <c r="B118" i="2"/>
  <c r="C117" i="2"/>
  <c r="B99" i="2"/>
  <c r="C98" i="2"/>
  <c r="B84" i="2"/>
  <c r="C83" i="2"/>
  <c r="B70" i="2"/>
  <c r="C69" i="2"/>
  <c r="C43" i="2"/>
  <c r="B44" i="2"/>
  <c r="B119" i="2" l="1"/>
  <c r="C118" i="2"/>
  <c r="B100" i="2"/>
  <c r="C99" i="2"/>
  <c r="B85" i="2"/>
  <c r="C85" i="2" s="1"/>
  <c r="C84" i="2"/>
  <c r="B71" i="2"/>
  <c r="C70" i="2"/>
  <c r="B45" i="2"/>
  <c r="C44" i="2"/>
  <c r="B120" i="2" l="1"/>
  <c r="C119" i="2"/>
  <c r="B101" i="2"/>
  <c r="C100" i="2"/>
  <c r="B72" i="2"/>
  <c r="C71" i="2"/>
  <c r="B46" i="2"/>
  <c r="C45" i="2"/>
  <c r="B121" i="2" l="1"/>
  <c r="C120" i="2"/>
  <c r="B102" i="2"/>
  <c r="C101" i="2"/>
  <c r="C72" i="2"/>
  <c r="B73" i="2"/>
  <c r="B47" i="2"/>
  <c r="C46" i="2"/>
  <c r="C121" i="2" l="1"/>
  <c r="B122" i="2"/>
  <c r="C122" i="2" s="1"/>
  <c r="C102" i="2"/>
  <c r="B103" i="2"/>
  <c r="B74" i="2"/>
  <c r="C73" i="2"/>
  <c r="B48" i="2"/>
  <c r="C47" i="2"/>
  <c r="B104" i="2" l="1"/>
  <c r="C103" i="2"/>
  <c r="B75" i="2"/>
  <c r="C74" i="2"/>
  <c r="B49" i="2"/>
  <c r="C48" i="2"/>
  <c r="B105" i="2" l="1"/>
  <c r="C104" i="2"/>
  <c r="B76" i="2"/>
  <c r="C75" i="2"/>
  <c r="B50" i="2"/>
  <c r="C49" i="2"/>
  <c r="B106" i="2" l="1"/>
  <c r="C105" i="2"/>
  <c r="B77" i="2"/>
  <c r="C76" i="2"/>
  <c r="B51" i="2"/>
  <c r="C50" i="2"/>
  <c r="B107" i="2" l="1"/>
  <c r="C106" i="2"/>
  <c r="B78" i="2"/>
  <c r="C78" i="2" s="1"/>
  <c r="C77" i="2"/>
  <c r="C51" i="2"/>
  <c r="B52" i="2"/>
  <c r="C107" i="2" l="1"/>
  <c r="B108" i="2"/>
  <c r="C108" i="2" s="1"/>
  <c r="C52" i="2"/>
  <c r="B53" i="2"/>
  <c r="C53" i="2" l="1"/>
  <c r="B54" i="2"/>
  <c r="B55" i="2" l="1"/>
  <c r="C54" i="2"/>
  <c r="B56" i="2" l="1"/>
  <c r="C55" i="2"/>
  <c r="B57" i="2" l="1"/>
  <c r="C56" i="2"/>
  <c r="C57" i="2" l="1"/>
  <c r="B58" i="2"/>
  <c r="B59" i="2" l="1"/>
  <c r="C58" i="2"/>
  <c r="B60" i="2" l="1"/>
  <c r="C59" i="2"/>
  <c r="C60" i="2" l="1"/>
  <c r="B61" i="2"/>
  <c r="C61" i="2" l="1"/>
  <c r="B62" i="2"/>
  <c r="B63" i="2" l="1"/>
  <c r="C63" i="2" s="1"/>
  <c r="C62" i="2"/>
</calcChain>
</file>

<file path=xl/sharedStrings.xml><?xml version="1.0" encoding="utf-8"?>
<sst xmlns="http://schemas.openxmlformats.org/spreadsheetml/2006/main" count="597" uniqueCount="207">
  <si>
    <t>Common constant for Left and Right motors</t>
  </si>
  <si>
    <t>Index</t>
  </si>
  <si>
    <t>Name</t>
  </si>
  <si>
    <t>Description</t>
  </si>
  <si>
    <t>Type</t>
  </si>
  <si>
    <t>Access</t>
  </si>
  <si>
    <t>Default</t>
  </si>
  <si>
    <t>Communication 
offline time</t>
    <phoneticPr fontId="1"/>
  </si>
  <si>
    <t>Range</t>
    <phoneticPr fontId="1"/>
  </si>
  <si>
    <t>Driver and host communication 
offline time setting.
Unit: ms</t>
    <phoneticPr fontId="1"/>
  </si>
  <si>
    <t>Range: 0-32767</t>
  </si>
  <si>
    <t>U16</t>
    <phoneticPr fontId="1"/>
  </si>
  <si>
    <t>RW/S</t>
    <phoneticPr fontId="1"/>
  </si>
  <si>
    <t>RS485 Node ID</t>
  </si>
  <si>
    <t>Range: 1~127</t>
  </si>
  <si>
    <t>RS485 Baud Rate</t>
  </si>
  <si>
    <t>1: 128000bps
2: 115200bps
3: 57600bps
4: 38400bps
5: 19200bps
6: 9600bps</t>
    <phoneticPr fontId="1"/>
  </si>
  <si>
    <t>Input signal status</t>
  </si>
  <si>
    <t>2 input signal level status</t>
    <phoneticPr fontId="1"/>
  </si>
  <si>
    <t>Bit0-Bit1: X0-X1 input level status</t>
  </si>
  <si>
    <t>RO</t>
    <phoneticPr fontId="1"/>
  </si>
  <si>
    <t>2 output signal level status</t>
  </si>
  <si>
    <t>Bit0-Bit1: Y0-Y1 output status;</t>
  </si>
  <si>
    <t>Out signal status</t>
  </si>
  <si>
    <t>Clear feedback position</t>
  </si>
  <si>
    <t>Used to clear feedback position in 
Profile Position Mode.</t>
    <phoneticPr fontId="1"/>
  </si>
  <si>
    <t>0: Invalid;
1: Clear the feedback position(Left);
2: Clear the feedback position(Right);
3: Clear the feedback position(Left 
and right);
Not saved.</t>
    <phoneticPr fontId="1"/>
  </si>
  <si>
    <t>RW</t>
    <phoneticPr fontId="1"/>
  </si>
  <si>
    <t>In absolute position 
control, reset the zero 
point</t>
    <phoneticPr fontId="1"/>
  </si>
  <si>
    <t>reset the zero point</t>
    <phoneticPr fontId="1"/>
  </si>
  <si>
    <t>reset the zero point.
0: Invalid;
1: Reset the zero point(Left);
2: Reset the zero point(Right);
3: Reset the zero point(Right); &lt;= LeftRgith?
Not saved.</t>
    <phoneticPr fontId="1"/>
  </si>
  <si>
    <t>Shaft state after 
power on</t>
    <phoneticPr fontId="1"/>
  </si>
  <si>
    <t>0: Not enabled, not lock shaft; 
1: Not enabled, lock shaft;</t>
    <phoneticPr fontId="1"/>
  </si>
  <si>
    <t>Maximum motor speed</t>
  </si>
  <si>
    <t>Motor maximum speed
Unit: r/min.</t>
    <phoneticPr fontId="1"/>
  </si>
  <si>
    <t>Range: 1-1000 r/min.</t>
    <phoneticPr fontId="1"/>
  </si>
  <si>
    <t>Register parameter 
settings</t>
    <phoneticPr fontId="1"/>
  </si>
  <si>
    <t>0: Invalid;
1: Restore factory settings</t>
    <phoneticPr fontId="1"/>
  </si>
  <si>
    <t>CAN Node ID</t>
  </si>
  <si>
    <t>Range: 1-127</t>
  </si>
  <si>
    <t>CAN Baud rate</t>
  </si>
  <si>
    <t>0: 1000 Kbit/s 1: 500 Kbit/s 2: 250 Kbit/s 3: 125 Kbit/s 4: 100 Kbit/s 5: 50 Kbit/s 6: 25 Kbit/s</t>
  </si>
  <si>
    <t>NC</t>
    <phoneticPr fontId="1"/>
  </si>
  <si>
    <t>Control mode</t>
  </si>
  <si>
    <t>0: Undefined 1: Position mode(Relative) 2: Position mode(Absolute) 3: Velocity mode 4: Torque mode</t>
  </si>
  <si>
    <t>Control word</t>
  </si>
  <si>
    <t>0: Undefined 0x05: Emergency stop 0x06: Clear fault 0x07: Stop 0x08: Enable 0x10:Start(Synchronous)(Position mode) 0x11: Start(Left) 0x12: Start(Right)</t>
  </si>
  <si>
    <t>Synchronous/asynchr onous control status</t>
  </si>
  <si>
    <t>0: Synchronous 1: Asynchronous</t>
  </si>
  <si>
    <t>Whether store RW register to EEPROM</t>
  </si>
  <si>
    <t xml:space="preserve">Whether the value of the 
communication write function code is 
updated to the EEPROM. </t>
    <phoneticPr fontId="1"/>
  </si>
  <si>
    <t>0: Invalid 1: Store parameters have RW attribution to EEPROM</t>
  </si>
  <si>
    <t>Quick stop control</t>
  </si>
  <si>
    <t>How driver process when receive quick stop command</t>
  </si>
  <si>
    <t>5: Stop 6: Quick stop(with deceleration time ) 7: Quick stop(without deceleration time)</t>
  </si>
  <si>
    <t>Close operation control</t>
  </si>
  <si>
    <t>How driver process when receive stop command</t>
  </si>
  <si>
    <t>0: Invalid;
1: Stop normally, switch to “ready to switch on” state</t>
    <phoneticPr fontId="1"/>
  </si>
  <si>
    <t>Disable control</t>
  </si>
  <si>
    <t>How driver process when receive disable command</t>
  </si>
  <si>
    <t>0: Invalid 1: Stop(Switch to switch on status)</t>
  </si>
  <si>
    <t>Halt control</t>
  </si>
  <si>
    <t>How driver process when receive Halt command</t>
  </si>
  <si>
    <t>1: Stop(operation enabled) 2: Quick stop with deceleration time (operation enable) 3: Quick stop without deceleration time(operation enable)</t>
  </si>
  <si>
    <t>Input effective level</t>
  </si>
  <si>
    <t>Bit0: Input terminal X0 control bit; Bit1: Input terminal X1 control bit;</t>
  </si>
  <si>
    <t>0: Default(High level) 1: Reverse(Low level) The driver defaults to the input terminal level rising edge or high level active.</t>
  </si>
  <si>
    <t>Input terminal X0 terminal function selection</t>
  </si>
  <si>
    <t>Input terminal X1 terminal function selection</t>
  </si>
  <si>
    <t>0: None 1-8: NC 9: Emergency stop</t>
  </si>
  <si>
    <t>Output effective level</t>
  </si>
  <si>
    <t>Bit0: Output terminal Y0 control bit; Bit1: Output terminal Y1 control bit; Bit2: Output terminal B0 control bit; Bit3: Output terminal B1 control bit;</t>
  </si>
  <si>
    <t>0: Default(High level)
1: Reverse(Low level)
The driver defaults to the input 
terminal level rising edge or high level 
active;</t>
    <phoneticPr fontId="1"/>
  </si>
  <si>
    <t>Output terminal B0 terminal function selection</t>
  </si>
  <si>
    <t>Brake state</t>
  </si>
  <si>
    <t>0: Open brake 1: Close brake</t>
  </si>
  <si>
    <t>Output terminal B1 terminal function selection</t>
  </si>
  <si>
    <t>Output terminal Y0 terminal function selection</t>
  </si>
  <si>
    <t>0: undefined;
1: Alarm signal;
2: Drive status signal; 
3: Target position reached signal
(reserved);</t>
    <phoneticPr fontId="1"/>
  </si>
  <si>
    <t>Output terminal Y1 terminal function selection</t>
  </si>
  <si>
    <t>0: undefined;
1: Alarm signal;
2: Drive status signal; 
3: Target position reached signal 
(reserved);</t>
    <phoneticPr fontId="1"/>
  </si>
  <si>
    <t>Driver temperature protection threshold</t>
  </si>
  <si>
    <t>Unit 0.1°C; Range: 0-1200</t>
  </si>
  <si>
    <t>Alarm PWM processing method</t>
  </si>
  <si>
    <t>0: close; 1: open</t>
  </si>
  <si>
    <t>Overload processing method</t>
  </si>
  <si>
    <t>I/O emergency stop processing mode</t>
  </si>
  <si>
    <t>0: Lock shaft 1: Release shaft</t>
  </si>
  <si>
    <t>Left motor parameter</t>
  </si>
  <si>
    <t>Right motor parameter</t>
  </si>
  <si>
    <t>Control parameter</t>
  </si>
  <si>
    <t>Read only parameter</t>
  </si>
  <si>
    <t>Encoder line</t>
  </si>
  <si>
    <t>Range: 0-4096</t>
  </si>
  <si>
    <t>Hall offset angle</t>
  </si>
  <si>
    <t>Unit: 1°</t>
  </si>
  <si>
    <t>Range: -360-+360</t>
  </si>
  <si>
    <t>Overload factor</t>
  </si>
  <si>
    <t>Rated current</t>
  </si>
  <si>
    <t>Maximum current</t>
  </si>
  <si>
    <t>Overload protection time</t>
  </si>
  <si>
    <t>Position following error threshold</t>
  </si>
  <si>
    <t>Velocity smoothing factor</t>
  </si>
  <si>
    <t>Cl Kp</t>
  </si>
  <si>
    <t>Cl Ki</t>
  </si>
  <si>
    <t>Feedforward output smoothing factor</t>
  </si>
  <si>
    <t>Torque output smoothing factor</t>
  </si>
  <si>
    <t>Velocity Loop Kp</t>
  </si>
  <si>
    <t>Velocity Loop Ki</t>
  </si>
  <si>
    <t>Velocity Loop Kf</t>
  </si>
  <si>
    <t>Position Loop Kp</t>
  </si>
  <si>
    <t>Position Loop Kf</t>
  </si>
  <si>
    <t>Initial velocity(Velocity mode)</t>
  </si>
  <si>
    <t>Initial velocity(Position mode)</t>
  </si>
  <si>
    <t>Motor poles</t>
  </si>
  <si>
    <t>Over temperature threshold</t>
  </si>
  <si>
    <t>Velocity observer coefficient 1</t>
  </si>
  <si>
    <t>Velocity observer coefficient 2</t>
  </si>
  <si>
    <t>Velocity observer coefficient 3</t>
  </si>
  <si>
    <t>Velocity observer coefficient 4</t>
  </si>
  <si>
    <t>Unit: %</t>
  </si>
  <si>
    <t>Range: 0-300</t>
  </si>
  <si>
    <t>Rated current output by the driver Unit: 0.1A</t>
  </si>
  <si>
    <t>Range: 0-150</t>
  </si>
  <si>
    <t>Driver overload protection time Unit: 10ms</t>
  </si>
  <si>
    <t>Range: 0-655</t>
  </si>
  <si>
    <t>Encoder tolerance threshold Unit: 10counts</t>
  </si>
  <si>
    <t>Range: 1-6553</t>
  </si>
  <si>
    <t>Range: 0-30000</t>
  </si>
  <si>
    <t>1r/min</t>
  </si>
  <si>
    <t>0-30000</t>
  </si>
  <si>
    <t>Unit: 0.1°C</t>
  </si>
  <si>
    <t>Range: 0-1200</t>
  </si>
  <si>
    <t>Range: 4-64</t>
  </si>
  <si>
    <t>Range: 1-250/min;</t>
  </si>
  <si>
    <t>Initial velocity in position mode</t>
  </si>
  <si>
    <t>Initial velocity in velocity mode Unit: r/min;</t>
  </si>
  <si>
    <t>RO</t>
    <phoneticPr fontId="1"/>
  </si>
  <si>
    <t>I16</t>
    <phoneticPr fontId="1"/>
  </si>
  <si>
    <t>Driver temperature</t>
  </si>
  <si>
    <t>Range: -550~1200.</t>
  </si>
  <si>
    <t>-</t>
    <phoneticPr fontId="1"/>
  </si>
  <si>
    <t>01</t>
    <phoneticPr fontId="1"/>
  </si>
  <si>
    <t>Software connected status</t>
    <phoneticPr fontId="1"/>
  </si>
  <si>
    <t>Actual torque(Right</t>
  </si>
  <si>
    <t>Actual torque(Left)</t>
  </si>
  <si>
    <t>Unit: 0.1A</t>
  </si>
  <si>
    <t>Range: -300~300;</t>
  </si>
  <si>
    <t>Sofeware version</t>
  </si>
  <si>
    <t>Bus voltage</t>
  </si>
  <si>
    <t>Unit: 0.01V</t>
  </si>
  <si>
    <t>Status word</t>
  </si>
  <si>
    <t>Driver controls motor movement: L-bit7,bit6 R-bit15,bit14</t>
  </si>
  <si>
    <t>Driver controls motor movement: L-bit7,bit6 R-bit15,bit14 00 00: Shaft release 00 40: Shaft lock 00 80: Emergency stop 00 C0: Alarm Motor running status: bit0 L-bit0,R-bit8 0: Stop 1: Run</t>
  </si>
  <si>
    <t>Hall input state</t>
  </si>
  <si>
    <t>Range: 0-7 If 0 or 7 occurs, hall error</t>
  </si>
  <si>
    <t>High 8 bits(Left) Low 8 bits(Right)</t>
  </si>
  <si>
    <t>Motor temperature</t>
  </si>
  <si>
    <t>Unit: 1°C;</t>
  </si>
  <si>
    <t>Range: -55~120 High 8 bits(Left) Low 8 bits(Right)</t>
  </si>
  <si>
    <t>Error code(Left)</t>
  </si>
  <si>
    <t>Driver error conditions defined by manufacturer.</t>
    <phoneticPr fontId="1"/>
  </si>
  <si>
    <t>0000h: No error
0001h : Over voltage
0002h : Under voltage
0004h: Over current
0008h: Over load
0010h: Current out of tolerance
0020h: Encoder out of tolerance
0040h: Velocity out of tolerance
0080h : Reference voltage error
0100h: EEPROM error
0200h: Hall error
0400h: Motor temperature over 
temperature</t>
    <phoneticPr fontId="1"/>
  </si>
  <si>
    <t>Error code(Right)</t>
  </si>
  <si>
    <t>Actual motor position high 16 bits(Left)</t>
  </si>
  <si>
    <t>Actual motor position low 16 bits(Left)</t>
  </si>
  <si>
    <t>Actual motor position, unit: counts</t>
  </si>
  <si>
    <t>Range:-0x7FFFFFFF~0x7FFFFFFF</t>
  </si>
  <si>
    <t>Actual motor position high 16 bits(Right)</t>
  </si>
  <si>
    <t>Actual motor position low 16 bits(Right)</t>
  </si>
  <si>
    <t>Actual velocity(Left)</t>
  </si>
  <si>
    <t>Actual velocity(Right)</t>
  </si>
  <si>
    <t>Actual velocity,unit: 0.1r/min</t>
  </si>
  <si>
    <t>S-shape acceleration time(Left)</t>
  </si>
  <si>
    <t>S-shape acceleration time(Right)</t>
  </si>
  <si>
    <t>S-shape deceleration time(Left)</t>
  </si>
  <si>
    <t>S-shape deceleration time(Right)</t>
  </si>
  <si>
    <t>Deceleration time of quick stop(Left)</t>
  </si>
  <si>
    <t>Deceleration time of quick stop(Right)</t>
  </si>
  <si>
    <t>Torque slope(Left)</t>
  </si>
  <si>
    <t>Torque slope(Right)</t>
  </si>
  <si>
    <t>Target velocity(Left)</t>
  </si>
  <si>
    <t>Target velocity(Right)</t>
  </si>
  <si>
    <t>Target position high 16 bits(Left)</t>
  </si>
  <si>
    <t>Target position low 16 bits(Left</t>
  </si>
  <si>
    <t>Target position high 16 bits(Right)</t>
  </si>
  <si>
    <t>Target position low 16 bits(Right)</t>
  </si>
  <si>
    <t>Max speed(Left)</t>
  </si>
  <si>
    <t>Max speed(Right)</t>
  </si>
  <si>
    <t>Target torque(Left)</t>
  </si>
  <si>
    <t>Target torque(Right)</t>
  </si>
  <si>
    <t>Unit: mA</t>
  </si>
  <si>
    <t>ange: -30000~30000;</t>
  </si>
  <si>
    <t>120r/min</t>
  </si>
  <si>
    <t>Max speed in position mode</t>
  </si>
  <si>
    <t>Range: 1-1000r/min;</t>
  </si>
  <si>
    <t>Range of total pulse number in position mode operation;</t>
  </si>
  <si>
    <t>Relative: -0x7FFFFFFF~0x7FFFFFFF Absolute: -0x3FFFFFFF~0x3FFFFFFF</t>
  </si>
  <si>
    <t>Target velocity in velocity mode</t>
  </si>
  <si>
    <t>Range: -3000~3000r/min</t>
  </si>
  <si>
    <t>Current/1000/second Unit: mA/S</t>
  </si>
  <si>
    <t>300ms</t>
  </si>
  <si>
    <t>10ms</t>
  </si>
  <si>
    <t>500ms</t>
  </si>
  <si>
    <t>Acceleration tim</t>
  </si>
  <si>
    <t>Range: 0-32767ms</t>
  </si>
  <si>
    <t>Deceleration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</si>
</sst>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tabSelected="1" zoomScaleNormal="100" workbookViewId="0">
      <pane xSplit="4" ySplit="1" topLeftCell="E80" activePane="bottomRight" state="frozen"/>
      <selection pane="topRight" activeCell="D1" sqref="D1"/>
      <selection pane="bottomLeft" activeCell="A2" sqref="A2"/>
      <selection pane="bottomRight" activeCell="A111" sqref="A111"/>
    </sheetView>
  </sheetViews>
  <sheetFormatPr defaultRowHeight="9.75" customHeight="1" x14ac:dyDescent="0.15"/>
  <cols>
    <col min="2" max="2" width="5.5" bestFit="1" customWidth="1"/>
    <col min="4" max="4" width="41.875" bestFit="1" customWidth="1"/>
    <col min="6" max="6" width="26.875" customWidth="1"/>
  </cols>
  <sheetData>
    <row r="1" spans="1:9" ht="9.75" customHeight="1" x14ac:dyDescent="0.15"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</row>
    <row r="2" spans="1:9" ht="9.75" customHeight="1" x14ac:dyDescent="0.15">
      <c r="A2" t="s">
        <v>0</v>
      </c>
      <c r="B2">
        <v>8192</v>
      </c>
      <c r="C2" t="str">
        <f t="shared" ref="C2:C24" si="0">DEC2HEX(B2,4)&amp;"h"</f>
        <v>2000h</v>
      </c>
      <c r="D2" s="1" t="s">
        <v>7</v>
      </c>
      <c r="E2" s="1" t="s">
        <v>9</v>
      </c>
      <c r="F2" t="s">
        <v>10</v>
      </c>
      <c r="G2" t="s">
        <v>11</v>
      </c>
      <c r="H2" t="s">
        <v>12</v>
      </c>
      <c r="I2">
        <v>1000</v>
      </c>
    </row>
    <row r="3" spans="1:9" ht="9.75" customHeight="1" x14ac:dyDescent="0.15">
      <c r="B3">
        <v>8193</v>
      </c>
      <c r="C3" t="str">
        <f t="shared" si="0"/>
        <v>2001h</v>
      </c>
      <c r="D3" t="s">
        <v>13</v>
      </c>
      <c r="F3" t="s">
        <v>14</v>
      </c>
      <c r="G3" t="s">
        <v>11</v>
      </c>
      <c r="H3" t="s">
        <v>12</v>
      </c>
      <c r="I3">
        <v>1</v>
      </c>
    </row>
    <row r="4" spans="1:9" ht="9.75" customHeight="1" x14ac:dyDescent="0.15">
      <c r="B4">
        <v>8194</v>
      </c>
      <c r="C4" t="str">
        <f t="shared" si="0"/>
        <v>2002h</v>
      </c>
      <c r="D4" t="s">
        <v>15</v>
      </c>
      <c r="F4" s="1" t="s">
        <v>16</v>
      </c>
      <c r="G4" t="s">
        <v>11</v>
      </c>
      <c r="H4" t="s">
        <v>12</v>
      </c>
      <c r="I4">
        <v>2</v>
      </c>
    </row>
    <row r="5" spans="1:9" ht="9.75" customHeight="1" x14ac:dyDescent="0.15">
      <c r="B5">
        <v>8195</v>
      </c>
      <c r="C5" t="str">
        <f t="shared" si="0"/>
        <v>2003h</v>
      </c>
      <c r="D5" t="s">
        <v>17</v>
      </c>
      <c r="E5" t="s">
        <v>18</v>
      </c>
      <c r="F5" t="s">
        <v>19</v>
      </c>
      <c r="G5" t="s">
        <v>11</v>
      </c>
      <c r="H5" t="s">
        <v>20</v>
      </c>
      <c r="I5">
        <v>0</v>
      </c>
    </row>
    <row r="6" spans="1:9" ht="9.75" customHeight="1" x14ac:dyDescent="0.15">
      <c r="B6">
        <v>8196</v>
      </c>
      <c r="C6" t="str">
        <f t="shared" si="0"/>
        <v>2004h</v>
      </c>
      <c r="D6" t="s">
        <v>23</v>
      </c>
      <c r="E6" t="s">
        <v>21</v>
      </c>
      <c r="F6" t="s">
        <v>22</v>
      </c>
      <c r="G6" t="s">
        <v>11</v>
      </c>
      <c r="H6" t="s">
        <v>20</v>
      </c>
      <c r="I6">
        <v>0</v>
      </c>
    </row>
    <row r="7" spans="1:9" ht="9.75" customHeight="1" x14ac:dyDescent="0.15">
      <c r="B7">
        <v>8197</v>
      </c>
      <c r="C7" t="str">
        <f t="shared" si="0"/>
        <v>2005h</v>
      </c>
      <c r="D7" t="s">
        <v>24</v>
      </c>
      <c r="E7" s="1" t="s">
        <v>25</v>
      </c>
      <c r="F7" s="1" t="s">
        <v>26</v>
      </c>
      <c r="G7" t="s">
        <v>11</v>
      </c>
      <c r="H7" t="s">
        <v>27</v>
      </c>
      <c r="I7">
        <v>0</v>
      </c>
    </row>
    <row r="8" spans="1:9" ht="9.75" customHeight="1" x14ac:dyDescent="0.15">
      <c r="B8">
        <v>8198</v>
      </c>
      <c r="C8" t="str">
        <f t="shared" si="0"/>
        <v>2006h</v>
      </c>
      <c r="D8" s="1" t="s">
        <v>28</v>
      </c>
      <c r="E8" t="s">
        <v>29</v>
      </c>
      <c r="F8" s="1" t="s">
        <v>30</v>
      </c>
      <c r="G8" t="s">
        <v>11</v>
      </c>
      <c r="H8" t="s">
        <v>27</v>
      </c>
      <c r="I8">
        <v>0</v>
      </c>
    </row>
    <row r="9" spans="1:9" ht="9.75" customHeight="1" x14ac:dyDescent="0.15">
      <c r="B9">
        <v>8199</v>
      </c>
      <c r="C9" t="str">
        <f t="shared" si="0"/>
        <v>2007h</v>
      </c>
      <c r="D9" s="1" t="s">
        <v>31</v>
      </c>
      <c r="F9" s="1" t="s">
        <v>32</v>
      </c>
      <c r="G9" t="s">
        <v>11</v>
      </c>
      <c r="H9" t="s">
        <v>27</v>
      </c>
      <c r="I9">
        <v>0</v>
      </c>
    </row>
    <row r="10" spans="1:9" ht="9.75" customHeight="1" x14ac:dyDescent="0.15">
      <c r="B10">
        <v>8200</v>
      </c>
      <c r="C10" t="str">
        <f t="shared" si="0"/>
        <v>2008h</v>
      </c>
      <c r="D10" t="s">
        <v>33</v>
      </c>
      <c r="E10" s="1" t="s">
        <v>34</v>
      </c>
      <c r="F10" s="1" t="s">
        <v>35</v>
      </c>
      <c r="G10" t="s">
        <v>11</v>
      </c>
      <c r="H10" t="s">
        <v>27</v>
      </c>
      <c r="I10">
        <v>1000</v>
      </c>
    </row>
    <row r="11" spans="1:9" ht="9.75" customHeight="1" x14ac:dyDescent="0.15">
      <c r="B11">
        <v>8201</v>
      </c>
      <c r="C11" t="str">
        <f t="shared" si="0"/>
        <v>2009h</v>
      </c>
      <c r="D11" s="1" t="s">
        <v>36</v>
      </c>
      <c r="F11" s="1" t="s">
        <v>37</v>
      </c>
      <c r="G11" t="s">
        <v>11</v>
      </c>
      <c r="H11" t="s">
        <v>27</v>
      </c>
      <c r="I11">
        <v>0</v>
      </c>
    </row>
    <row r="12" spans="1:9" ht="9.75" customHeight="1" x14ac:dyDescent="0.15">
      <c r="B12">
        <v>8202</v>
      </c>
      <c r="C12" t="str">
        <f t="shared" si="0"/>
        <v>200Ah</v>
      </c>
      <c r="D12" t="s">
        <v>38</v>
      </c>
      <c r="F12" t="s">
        <v>39</v>
      </c>
      <c r="G12" t="s">
        <v>11</v>
      </c>
      <c r="H12" t="s">
        <v>27</v>
      </c>
      <c r="I12">
        <v>1</v>
      </c>
    </row>
    <row r="13" spans="1:9" ht="9.75" customHeight="1" x14ac:dyDescent="0.15">
      <c r="B13">
        <v>8203</v>
      </c>
      <c r="C13" t="str">
        <f t="shared" si="0"/>
        <v>200Bh</v>
      </c>
      <c r="D13" t="s">
        <v>40</v>
      </c>
      <c r="F13" t="s">
        <v>41</v>
      </c>
      <c r="G13" t="s">
        <v>11</v>
      </c>
      <c r="H13" t="s">
        <v>27</v>
      </c>
      <c r="I13">
        <v>1</v>
      </c>
    </row>
    <row r="14" spans="1:9" ht="9.75" customHeight="1" x14ac:dyDescent="0.15">
      <c r="B14">
        <v>8204</v>
      </c>
      <c r="C14" t="str">
        <f t="shared" si="0"/>
        <v>200Ch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</row>
    <row r="15" spans="1:9" ht="9.75" customHeight="1" x14ac:dyDescent="0.15">
      <c r="B15">
        <v>8205</v>
      </c>
      <c r="C15" t="str">
        <f t="shared" si="0"/>
        <v>200Dh</v>
      </c>
      <c r="D15" t="s">
        <v>43</v>
      </c>
      <c r="F15" t="s">
        <v>44</v>
      </c>
      <c r="G15" t="s">
        <v>11</v>
      </c>
      <c r="H15" t="s">
        <v>27</v>
      </c>
      <c r="I15">
        <v>0</v>
      </c>
    </row>
    <row r="16" spans="1:9" ht="9.75" customHeight="1" x14ac:dyDescent="0.15">
      <c r="B16">
        <v>8206</v>
      </c>
      <c r="C16" t="str">
        <f t="shared" si="0"/>
        <v>200Eh</v>
      </c>
      <c r="D16" t="s">
        <v>45</v>
      </c>
      <c r="F16" t="s">
        <v>46</v>
      </c>
      <c r="G16" t="s">
        <v>11</v>
      </c>
      <c r="H16" t="s">
        <v>27</v>
      </c>
      <c r="I16">
        <v>0</v>
      </c>
    </row>
    <row r="17" spans="2:9" ht="9.75" customHeight="1" x14ac:dyDescent="0.15">
      <c r="B17">
        <v>8207</v>
      </c>
      <c r="C17" t="str">
        <f t="shared" si="0"/>
        <v>200Fh</v>
      </c>
      <c r="D17" t="s">
        <v>47</v>
      </c>
      <c r="F17" t="s">
        <v>48</v>
      </c>
      <c r="G17" t="s">
        <v>11</v>
      </c>
      <c r="H17" t="s">
        <v>27</v>
      </c>
      <c r="I17">
        <v>0</v>
      </c>
    </row>
    <row r="18" spans="2:9" ht="9.75" customHeight="1" x14ac:dyDescent="0.15">
      <c r="B18">
        <v>8208</v>
      </c>
      <c r="C18" t="str">
        <f t="shared" si="0"/>
        <v>2010h</v>
      </c>
      <c r="D18" t="s">
        <v>49</v>
      </c>
      <c r="E18" s="1" t="s">
        <v>50</v>
      </c>
      <c r="F18" t="s">
        <v>51</v>
      </c>
      <c r="G18" t="s">
        <v>11</v>
      </c>
      <c r="H18" t="s">
        <v>27</v>
      </c>
      <c r="I18">
        <v>0</v>
      </c>
    </row>
    <row r="19" spans="2:9" ht="9.75" customHeight="1" x14ac:dyDescent="0.15">
      <c r="B19">
        <v>8209</v>
      </c>
      <c r="C19" t="str">
        <f t="shared" si="0"/>
        <v>2011h</v>
      </c>
      <c r="D19" t="s">
        <v>52</v>
      </c>
      <c r="E19" t="s">
        <v>53</v>
      </c>
      <c r="F19" t="s">
        <v>54</v>
      </c>
      <c r="G19" t="s">
        <v>11</v>
      </c>
      <c r="H19" t="s">
        <v>27</v>
      </c>
      <c r="I19">
        <v>5</v>
      </c>
    </row>
    <row r="20" spans="2:9" ht="9.75" customHeight="1" x14ac:dyDescent="0.15">
      <c r="B20">
        <v>8210</v>
      </c>
      <c r="C20" t="str">
        <f t="shared" si="0"/>
        <v>2012h</v>
      </c>
      <c r="D20" t="s">
        <v>55</v>
      </c>
      <c r="E20" t="s">
        <v>56</v>
      </c>
      <c r="F20" s="1" t="s">
        <v>57</v>
      </c>
      <c r="G20" t="s">
        <v>11</v>
      </c>
      <c r="H20" t="s">
        <v>27</v>
      </c>
      <c r="I20">
        <v>1</v>
      </c>
    </row>
    <row r="21" spans="2:9" ht="9.75" customHeight="1" x14ac:dyDescent="0.15">
      <c r="B21">
        <v>8211</v>
      </c>
      <c r="C21" t="str">
        <f t="shared" si="0"/>
        <v>2013h</v>
      </c>
      <c r="D21" t="s">
        <v>58</v>
      </c>
      <c r="E21" t="s">
        <v>59</v>
      </c>
      <c r="F21" t="s">
        <v>60</v>
      </c>
      <c r="G21" t="s">
        <v>11</v>
      </c>
      <c r="H21" t="s">
        <v>27</v>
      </c>
      <c r="I21">
        <v>1</v>
      </c>
    </row>
    <row r="22" spans="2:9" ht="9.75" customHeight="1" x14ac:dyDescent="0.15">
      <c r="B22">
        <v>8212</v>
      </c>
      <c r="C22" t="str">
        <f t="shared" si="0"/>
        <v>2014h</v>
      </c>
      <c r="D22" t="s">
        <v>61</v>
      </c>
      <c r="E22" t="s">
        <v>62</v>
      </c>
      <c r="F22" t="s">
        <v>63</v>
      </c>
      <c r="G22" t="s">
        <v>11</v>
      </c>
      <c r="H22" t="s">
        <v>27</v>
      </c>
      <c r="I22">
        <v>1</v>
      </c>
    </row>
    <row r="23" spans="2:9" ht="9.75" customHeight="1" x14ac:dyDescent="0.15">
      <c r="B23">
        <v>8213</v>
      </c>
      <c r="C23" t="str">
        <f t="shared" si="0"/>
        <v>2015h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</row>
    <row r="24" spans="2:9" ht="9.75" customHeight="1" x14ac:dyDescent="0.15">
      <c r="B24">
        <v>8214</v>
      </c>
      <c r="C24" t="str">
        <f t="shared" si="0"/>
        <v>2016h</v>
      </c>
      <c r="D24" t="s">
        <v>64</v>
      </c>
      <c r="E24" t="s">
        <v>65</v>
      </c>
      <c r="F24" t="s">
        <v>66</v>
      </c>
      <c r="G24" t="s">
        <v>11</v>
      </c>
      <c r="H24" t="s">
        <v>12</v>
      </c>
      <c r="I24">
        <v>0</v>
      </c>
    </row>
    <row r="25" spans="2:9" ht="9.75" customHeight="1" x14ac:dyDescent="0.15">
      <c r="B25">
        <v>8215</v>
      </c>
      <c r="C25" t="str">
        <f t="shared" ref="C25:C34" si="1">DEC2HEX(B25,4)&amp;"h"</f>
        <v>2017h</v>
      </c>
      <c r="D25" t="s">
        <v>67</v>
      </c>
      <c r="F25" t="s">
        <v>69</v>
      </c>
      <c r="G25" t="s">
        <v>11</v>
      </c>
      <c r="H25" t="s">
        <v>12</v>
      </c>
      <c r="I25">
        <v>9</v>
      </c>
    </row>
    <row r="26" spans="2:9" ht="9.75" customHeight="1" x14ac:dyDescent="0.15">
      <c r="B26">
        <v>8216</v>
      </c>
      <c r="C26" t="str">
        <f t="shared" si="1"/>
        <v>2018h</v>
      </c>
      <c r="D26" t="s">
        <v>68</v>
      </c>
      <c r="F26" t="s">
        <v>69</v>
      </c>
      <c r="G26" t="s">
        <v>11</v>
      </c>
      <c r="H26" t="s">
        <v>12</v>
      </c>
      <c r="I26">
        <v>0</v>
      </c>
    </row>
    <row r="27" spans="2:9" ht="9.75" customHeight="1" x14ac:dyDescent="0.15">
      <c r="B27">
        <v>8217</v>
      </c>
      <c r="C27" t="str">
        <f t="shared" si="1"/>
        <v>2019h</v>
      </c>
      <c r="D27" t="s">
        <v>70</v>
      </c>
      <c r="E27" t="s">
        <v>71</v>
      </c>
      <c r="F27" s="1" t="s">
        <v>72</v>
      </c>
      <c r="G27" t="s">
        <v>11</v>
      </c>
      <c r="H27" t="s">
        <v>12</v>
      </c>
      <c r="I27">
        <v>0</v>
      </c>
    </row>
    <row r="28" spans="2:9" ht="9.75" customHeight="1" x14ac:dyDescent="0.15">
      <c r="B28">
        <v>8218</v>
      </c>
      <c r="C28" t="str">
        <f t="shared" si="1"/>
        <v>201Ah</v>
      </c>
      <c r="D28" t="s">
        <v>73</v>
      </c>
      <c r="E28" t="s">
        <v>74</v>
      </c>
      <c r="F28" t="s">
        <v>75</v>
      </c>
      <c r="G28" t="s">
        <v>11</v>
      </c>
      <c r="H28" t="s">
        <v>12</v>
      </c>
      <c r="I28">
        <v>0</v>
      </c>
    </row>
    <row r="29" spans="2:9" ht="9.75" customHeight="1" x14ac:dyDescent="0.15">
      <c r="B29">
        <v>8219</v>
      </c>
      <c r="C29" t="str">
        <f t="shared" si="1"/>
        <v>201Bh</v>
      </c>
      <c r="D29" t="s">
        <v>76</v>
      </c>
      <c r="E29" t="s">
        <v>74</v>
      </c>
      <c r="F29" t="s">
        <v>75</v>
      </c>
      <c r="G29" t="s">
        <v>11</v>
      </c>
      <c r="H29" t="s">
        <v>12</v>
      </c>
      <c r="I29">
        <v>0</v>
      </c>
    </row>
    <row r="30" spans="2:9" ht="9.75" customHeight="1" x14ac:dyDescent="0.15">
      <c r="B30">
        <v>8220</v>
      </c>
      <c r="C30" t="str">
        <f t="shared" si="1"/>
        <v>201Ch</v>
      </c>
      <c r="D30" t="s">
        <v>77</v>
      </c>
      <c r="F30" s="1" t="s">
        <v>78</v>
      </c>
      <c r="G30" t="s">
        <v>11</v>
      </c>
      <c r="H30" t="s">
        <v>12</v>
      </c>
      <c r="I30">
        <v>0</v>
      </c>
    </row>
    <row r="31" spans="2:9" ht="9.75" customHeight="1" x14ac:dyDescent="0.15">
      <c r="B31">
        <v>8221</v>
      </c>
      <c r="C31" t="str">
        <f t="shared" si="1"/>
        <v>201Dh</v>
      </c>
      <c r="D31" t="s">
        <v>79</v>
      </c>
      <c r="F31" s="1" t="s">
        <v>80</v>
      </c>
      <c r="G31" t="s">
        <v>11</v>
      </c>
      <c r="H31" t="s">
        <v>12</v>
      </c>
      <c r="I31">
        <v>0</v>
      </c>
    </row>
    <row r="32" spans="2:9" ht="9.75" customHeight="1" x14ac:dyDescent="0.15">
      <c r="B32">
        <v>8222</v>
      </c>
      <c r="C32" t="str">
        <f t="shared" si="1"/>
        <v>201Eh</v>
      </c>
      <c r="D32" t="s">
        <v>81</v>
      </c>
      <c r="F32" t="s">
        <v>82</v>
      </c>
      <c r="G32" t="s">
        <v>11</v>
      </c>
      <c r="H32" t="s">
        <v>12</v>
      </c>
      <c r="I32">
        <v>800</v>
      </c>
    </row>
    <row r="33" spans="1:9" ht="9.75" customHeight="1" x14ac:dyDescent="0.15">
      <c r="B33">
        <v>8223</v>
      </c>
      <c r="C33" t="str">
        <f t="shared" si="1"/>
        <v>201Fh</v>
      </c>
      <c r="D33" t="s">
        <v>83</v>
      </c>
      <c r="F33" t="s">
        <v>84</v>
      </c>
      <c r="G33" t="s">
        <v>11</v>
      </c>
      <c r="H33" t="s">
        <v>12</v>
      </c>
      <c r="I33">
        <v>0</v>
      </c>
    </row>
    <row r="34" spans="1:9" ht="9.75" customHeight="1" x14ac:dyDescent="0.15">
      <c r="B34">
        <v>8224</v>
      </c>
      <c r="C34" t="str">
        <f t="shared" si="1"/>
        <v>2020h</v>
      </c>
      <c r="D34" t="s">
        <v>85</v>
      </c>
      <c r="F34" t="s">
        <v>84</v>
      </c>
      <c r="G34" t="s">
        <v>11</v>
      </c>
      <c r="H34" t="s">
        <v>12</v>
      </c>
      <c r="I34">
        <v>0</v>
      </c>
    </row>
    <row r="35" spans="1:9" ht="9.75" customHeight="1" x14ac:dyDescent="0.15">
      <c r="B35">
        <v>8225</v>
      </c>
      <c r="C35" t="str">
        <f>DEC2HEX(B35,4)&amp;"h"</f>
        <v>2021h</v>
      </c>
      <c r="D35" t="s">
        <v>86</v>
      </c>
      <c r="F35" t="s">
        <v>87</v>
      </c>
      <c r="G35" t="s">
        <v>11</v>
      </c>
      <c r="H35" t="s">
        <v>12</v>
      </c>
      <c r="I35">
        <v>0</v>
      </c>
    </row>
    <row r="36" spans="1:9" ht="9.75" customHeight="1" x14ac:dyDescent="0.15">
      <c r="A36" t="s">
        <v>88</v>
      </c>
    </row>
    <row r="37" spans="1:9" ht="9.75" customHeight="1" x14ac:dyDescent="0.15">
      <c r="B37">
        <v>8240</v>
      </c>
      <c r="C37" t="str">
        <f>DEC2HEX(B37,4)&amp;"h"</f>
        <v>2030h</v>
      </c>
      <c r="D37" t="s">
        <v>92</v>
      </c>
      <c r="F37" t="s">
        <v>93</v>
      </c>
      <c r="G37" t="s">
        <v>11</v>
      </c>
      <c r="H37" t="s">
        <v>27</v>
      </c>
      <c r="I37">
        <v>1024</v>
      </c>
    </row>
    <row r="38" spans="1:9" ht="9.75" customHeight="1" x14ac:dyDescent="0.15">
      <c r="B38">
        <f>B37+1</f>
        <v>8241</v>
      </c>
      <c r="C38" t="str">
        <f t="shared" ref="C38:C62" si="2">DEC2HEX(B38,4)&amp;"h"</f>
        <v>2031h</v>
      </c>
      <c r="D38" t="s">
        <v>94</v>
      </c>
      <c r="E38" t="s">
        <v>95</v>
      </c>
      <c r="F38" t="s">
        <v>96</v>
      </c>
      <c r="G38" t="s">
        <v>11</v>
      </c>
      <c r="H38" t="s">
        <v>27</v>
      </c>
      <c r="I38">
        <v>0</v>
      </c>
    </row>
    <row r="39" spans="1:9" ht="9.75" customHeight="1" x14ac:dyDescent="0.15">
      <c r="B39">
        <f t="shared" ref="B39:B63" si="3">B38+1</f>
        <v>8242</v>
      </c>
      <c r="C39" t="str">
        <f t="shared" si="2"/>
        <v>2032h</v>
      </c>
      <c r="D39" t="s">
        <v>97</v>
      </c>
      <c r="E39" t="s">
        <v>120</v>
      </c>
      <c r="F39" t="s">
        <v>121</v>
      </c>
      <c r="G39" t="s">
        <v>11</v>
      </c>
      <c r="H39" t="s">
        <v>27</v>
      </c>
      <c r="I39">
        <v>200</v>
      </c>
    </row>
    <row r="40" spans="1:9" ht="9.75" customHeight="1" x14ac:dyDescent="0.15">
      <c r="B40">
        <f t="shared" si="3"/>
        <v>8243</v>
      </c>
      <c r="C40" t="str">
        <f t="shared" si="2"/>
        <v>2033h</v>
      </c>
      <c r="D40" t="s">
        <v>98</v>
      </c>
      <c r="E40" t="s">
        <v>122</v>
      </c>
      <c r="F40" t="s">
        <v>123</v>
      </c>
      <c r="G40" t="s">
        <v>11</v>
      </c>
      <c r="H40" t="s">
        <v>27</v>
      </c>
      <c r="I40">
        <v>150</v>
      </c>
    </row>
    <row r="41" spans="1:9" ht="9.75" customHeight="1" x14ac:dyDescent="0.15">
      <c r="B41">
        <f t="shared" si="3"/>
        <v>8244</v>
      </c>
      <c r="C41" t="str">
        <f t="shared" si="2"/>
        <v>2034h</v>
      </c>
      <c r="D41" t="s">
        <v>99</v>
      </c>
      <c r="E41" t="s">
        <v>122</v>
      </c>
      <c r="F41" t="s">
        <v>121</v>
      </c>
      <c r="G41" t="s">
        <v>11</v>
      </c>
      <c r="H41" t="s">
        <v>27</v>
      </c>
      <c r="I41">
        <v>300</v>
      </c>
    </row>
    <row r="42" spans="1:9" ht="9.75" customHeight="1" x14ac:dyDescent="0.15">
      <c r="B42">
        <f t="shared" si="3"/>
        <v>8245</v>
      </c>
      <c r="C42" t="str">
        <f t="shared" si="2"/>
        <v>2035h</v>
      </c>
      <c r="D42" t="s">
        <v>100</v>
      </c>
      <c r="E42" t="s">
        <v>124</v>
      </c>
      <c r="F42" t="s">
        <v>125</v>
      </c>
      <c r="G42" t="s">
        <v>11</v>
      </c>
      <c r="H42" t="s">
        <v>27</v>
      </c>
      <c r="I42">
        <v>300</v>
      </c>
    </row>
    <row r="43" spans="1:9" ht="9.75" customHeight="1" x14ac:dyDescent="0.15">
      <c r="B43">
        <f t="shared" si="3"/>
        <v>8246</v>
      </c>
      <c r="C43" t="str">
        <f t="shared" si="2"/>
        <v>2036h</v>
      </c>
      <c r="D43" t="s">
        <v>101</v>
      </c>
      <c r="E43" t="s">
        <v>126</v>
      </c>
      <c r="F43" t="s">
        <v>127</v>
      </c>
      <c r="G43" t="s">
        <v>11</v>
      </c>
      <c r="H43" t="s">
        <v>27</v>
      </c>
      <c r="I43">
        <v>409</v>
      </c>
    </row>
    <row r="44" spans="1:9" ht="9.75" customHeight="1" x14ac:dyDescent="0.15">
      <c r="B44">
        <f t="shared" si="3"/>
        <v>8247</v>
      </c>
      <c r="C44" t="str">
        <f t="shared" si="2"/>
        <v>2037h</v>
      </c>
      <c r="D44" t="s">
        <v>102</v>
      </c>
      <c r="F44" t="s">
        <v>128</v>
      </c>
      <c r="G44" t="s">
        <v>11</v>
      </c>
      <c r="H44" t="s">
        <v>27</v>
      </c>
      <c r="I44">
        <v>1000</v>
      </c>
    </row>
    <row r="45" spans="1:9" ht="9.75" customHeight="1" x14ac:dyDescent="0.15">
      <c r="B45">
        <f t="shared" si="3"/>
        <v>8248</v>
      </c>
      <c r="C45" t="str">
        <f t="shared" si="2"/>
        <v>2038h</v>
      </c>
      <c r="D45" t="s">
        <v>103</v>
      </c>
      <c r="F45" t="s">
        <v>128</v>
      </c>
      <c r="G45" t="s">
        <v>11</v>
      </c>
      <c r="H45" t="s">
        <v>27</v>
      </c>
      <c r="I45">
        <v>600</v>
      </c>
    </row>
    <row r="46" spans="1:9" ht="9.75" customHeight="1" x14ac:dyDescent="0.15">
      <c r="B46">
        <f t="shared" si="3"/>
        <v>8249</v>
      </c>
      <c r="C46" t="str">
        <f t="shared" si="2"/>
        <v>2039h</v>
      </c>
      <c r="D46" t="s">
        <v>104</v>
      </c>
      <c r="F46" t="s">
        <v>128</v>
      </c>
      <c r="G46" t="s">
        <v>11</v>
      </c>
      <c r="H46" t="s">
        <v>27</v>
      </c>
      <c r="I46">
        <v>300</v>
      </c>
    </row>
    <row r="47" spans="1:9" ht="9.75" customHeight="1" x14ac:dyDescent="0.15">
      <c r="B47">
        <f t="shared" si="3"/>
        <v>8250</v>
      </c>
      <c r="C47" t="str">
        <f t="shared" si="2"/>
        <v>203Ah</v>
      </c>
      <c r="D47" t="s">
        <v>105</v>
      </c>
      <c r="F47" t="s">
        <v>128</v>
      </c>
      <c r="G47" t="s">
        <v>11</v>
      </c>
      <c r="H47" t="s">
        <v>27</v>
      </c>
      <c r="I47">
        <v>100</v>
      </c>
    </row>
    <row r="48" spans="1:9" ht="9.75" customHeight="1" x14ac:dyDescent="0.15">
      <c r="B48">
        <f t="shared" si="3"/>
        <v>8251</v>
      </c>
      <c r="C48" t="str">
        <f t="shared" si="2"/>
        <v>203Bh</v>
      </c>
      <c r="D48" t="s">
        <v>106</v>
      </c>
      <c r="F48" t="s">
        <v>128</v>
      </c>
      <c r="G48" t="s">
        <v>11</v>
      </c>
      <c r="H48" t="s">
        <v>27</v>
      </c>
      <c r="I48">
        <v>100</v>
      </c>
    </row>
    <row r="49" spans="1:9" ht="9.75" customHeight="1" x14ac:dyDescent="0.15">
      <c r="B49">
        <f t="shared" si="3"/>
        <v>8252</v>
      </c>
      <c r="C49" t="str">
        <f t="shared" si="2"/>
        <v>203Ch</v>
      </c>
      <c r="D49" t="s">
        <v>107</v>
      </c>
      <c r="F49" t="s">
        <v>128</v>
      </c>
      <c r="G49" t="s">
        <v>11</v>
      </c>
      <c r="H49" t="s">
        <v>27</v>
      </c>
      <c r="I49">
        <v>500</v>
      </c>
    </row>
    <row r="50" spans="1:9" ht="9.75" customHeight="1" x14ac:dyDescent="0.15">
      <c r="B50">
        <f t="shared" si="3"/>
        <v>8253</v>
      </c>
      <c r="C50" t="str">
        <f t="shared" si="2"/>
        <v>203Dh</v>
      </c>
      <c r="D50" t="s">
        <v>108</v>
      </c>
      <c r="F50" t="s">
        <v>128</v>
      </c>
      <c r="G50" t="s">
        <v>11</v>
      </c>
      <c r="H50" t="s">
        <v>27</v>
      </c>
      <c r="I50">
        <v>100</v>
      </c>
    </row>
    <row r="51" spans="1:9" ht="9.75" customHeight="1" x14ac:dyDescent="0.15">
      <c r="B51">
        <f t="shared" si="3"/>
        <v>8254</v>
      </c>
      <c r="C51" t="str">
        <f t="shared" si="2"/>
        <v>203Eh</v>
      </c>
      <c r="D51" t="s">
        <v>109</v>
      </c>
      <c r="F51" t="s">
        <v>128</v>
      </c>
      <c r="G51" t="s">
        <v>11</v>
      </c>
      <c r="H51" t="s">
        <v>27</v>
      </c>
      <c r="I51">
        <v>500</v>
      </c>
    </row>
    <row r="52" spans="1:9" ht="9.75" customHeight="1" x14ac:dyDescent="0.15">
      <c r="B52">
        <f t="shared" si="3"/>
        <v>8255</v>
      </c>
      <c r="C52" t="str">
        <f t="shared" si="2"/>
        <v>203Fh</v>
      </c>
      <c r="D52" t="s">
        <v>110</v>
      </c>
      <c r="F52" t="s">
        <v>128</v>
      </c>
      <c r="G52" t="s">
        <v>11</v>
      </c>
      <c r="H52" t="s">
        <v>27</v>
      </c>
      <c r="I52">
        <v>100</v>
      </c>
    </row>
    <row r="53" spans="1:9" ht="9.75" customHeight="1" x14ac:dyDescent="0.15">
      <c r="B53">
        <f t="shared" si="3"/>
        <v>8256</v>
      </c>
      <c r="C53" t="str">
        <f t="shared" si="2"/>
        <v>2040h</v>
      </c>
      <c r="D53" t="s">
        <v>111</v>
      </c>
      <c r="F53" t="s">
        <v>128</v>
      </c>
      <c r="G53" t="s">
        <v>11</v>
      </c>
      <c r="H53" t="s">
        <v>27</v>
      </c>
      <c r="I53">
        <v>50</v>
      </c>
    </row>
    <row r="54" spans="1:9" ht="9.75" customHeight="1" x14ac:dyDescent="0.15">
      <c r="B54">
        <f t="shared" si="3"/>
        <v>8257</v>
      </c>
      <c r="C54" t="str">
        <f t="shared" si="2"/>
        <v>2041h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</row>
    <row r="55" spans="1:9" ht="9.75" customHeight="1" x14ac:dyDescent="0.15">
      <c r="B55">
        <f t="shared" si="3"/>
        <v>8258</v>
      </c>
      <c r="C55" t="str">
        <f t="shared" si="2"/>
        <v>2042h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</row>
    <row r="56" spans="1:9" ht="9.75" customHeight="1" x14ac:dyDescent="0.15">
      <c r="B56">
        <f t="shared" si="3"/>
        <v>8259</v>
      </c>
      <c r="C56" t="str">
        <f t="shared" si="2"/>
        <v>2043h</v>
      </c>
      <c r="D56" t="s">
        <v>112</v>
      </c>
      <c r="E56" t="s">
        <v>136</v>
      </c>
      <c r="F56" t="s">
        <v>134</v>
      </c>
      <c r="G56" t="s">
        <v>11</v>
      </c>
      <c r="H56" t="s">
        <v>27</v>
      </c>
      <c r="I56" t="s">
        <v>129</v>
      </c>
    </row>
    <row r="57" spans="1:9" ht="9.75" customHeight="1" x14ac:dyDescent="0.15">
      <c r="B57">
        <f t="shared" si="3"/>
        <v>8260</v>
      </c>
      <c r="C57" t="str">
        <f t="shared" si="2"/>
        <v>2044h</v>
      </c>
      <c r="D57" t="s">
        <v>113</v>
      </c>
      <c r="E57" t="s">
        <v>135</v>
      </c>
      <c r="F57" t="s">
        <v>134</v>
      </c>
      <c r="G57" t="s">
        <v>11</v>
      </c>
      <c r="H57" t="s">
        <v>27</v>
      </c>
      <c r="I57" t="s">
        <v>129</v>
      </c>
    </row>
    <row r="58" spans="1:9" ht="9.75" customHeight="1" x14ac:dyDescent="0.15">
      <c r="B58">
        <f t="shared" si="3"/>
        <v>8261</v>
      </c>
      <c r="C58" t="str">
        <f t="shared" si="2"/>
        <v>2045h</v>
      </c>
      <c r="D58" t="s">
        <v>114</v>
      </c>
      <c r="F58" t="s">
        <v>133</v>
      </c>
      <c r="G58" t="s">
        <v>11</v>
      </c>
      <c r="H58" t="s">
        <v>27</v>
      </c>
      <c r="I58">
        <v>15</v>
      </c>
    </row>
    <row r="59" spans="1:9" ht="9.75" customHeight="1" x14ac:dyDescent="0.15">
      <c r="B59">
        <f t="shared" si="3"/>
        <v>8262</v>
      </c>
      <c r="C59" t="str">
        <f t="shared" si="2"/>
        <v>2046h</v>
      </c>
      <c r="D59" t="s">
        <v>115</v>
      </c>
      <c r="E59" t="s">
        <v>131</v>
      </c>
      <c r="F59" t="s">
        <v>132</v>
      </c>
      <c r="G59" t="s">
        <v>11</v>
      </c>
      <c r="H59" t="s">
        <v>27</v>
      </c>
      <c r="I59">
        <v>800</v>
      </c>
    </row>
    <row r="60" spans="1:9" ht="9.75" customHeight="1" x14ac:dyDescent="0.15">
      <c r="B60">
        <f t="shared" si="3"/>
        <v>8263</v>
      </c>
      <c r="C60" t="str">
        <f t="shared" si="2"/>
        <v>2047h</v>
      </c>
      <c r="D60" t="s">
        <v>116</v>
      </c>
      <c r="F60" t="s">
        <v>130</v>
      </c>
      <c r="G60" t="s">
        <v>11</v>
      </c>
      <c r="H60" t="s">
        <v>27</v>
      </c>
      <c r="I60">
        <v>1000</v>
      </c>
    </row>
    <row r="61" spans="1:9" ht="9.75" customHeight="1" x14ac:dyDescent="0.15">
      <c r="B61">
        <f t="shared" si="3"/>
        <v>8264</v>
      </c>
      <c r="C61" t="str">
        <f t="shared" si="2"/>
        <v>2048h</v>
      </c>
      <c r="D61" t="s">
        <v>117</v>
      </c>
      <c r="F61" t="s">
        <v>130</v>
      </c>
      <c r="G61" t="s">
        <v>11</v>
      </c>
      <c r="H61" t="s">
        <v>27</v>
      </c>
      <c r="I61">
        <v>750</v>
      </c>
    </row>
    <row r="62" spans="1:9" ht="9.75" customHeight="1" x14ac:dyDescent="0.15">
      <c r="B62">
        <f t="shared" si="3"/>
        <v>8265</v>
      </c>
      <c r="C62" t="str">
        <f t="shared" si="2"/>
        <v>2049h</v>
      </c>
      <c r="D62" t="s">
        <v>118</v>
      </c>
      <c r="F62" t="s">
        <v>130</v>
      </c>
      <c r="G62" t="s">
        <v>11</v>
      </c>
      <c r="H62" t="s">
        <v>27</v>
      </c>
      <c r="I62">
        <v>350</v>
      </c>
    </row>
    <row r="63" spans="1:9" ht="9.75" customHeight="1" x14ac:dyDescent="0.15">
      <c r="B63">
        <f t="shared" si="3"/>
        <v>8266</v>
      </c>
      <c r="C63" t="str">
        <f>DEC2HEX(B63,4)&amp;"h"</f>
        <v>204Ah</v>
      </c>
      <c r="D63" t="s">
        <v>119</v>
      </c>
      <c r="F63" t="s">
        <v>130</v>
      </c>
      <c r="G63" t="s">
        <v>11</v>
      </c>
      <c r="H63" t="s">
        <v>27</v>
      </c>
      <c r="I63">
        <v>1000</v>
      </c>
    </row>
    <row r="64" spans="1:9" ht="9.75" customHeight="1" x14ac:dyDescent="0.15">
      <c r="A64" t="s">
        <v>89</v>
      </c>
    </row>
    <row r="65" spans="2:9" ht="9.75" customHeight="1" x14ac:dyDescent="0.15">
      <c r="B65">
        <v>8288</v>
      </c>
      <c r="C65" t="str">
        <f>DEC2HEX(B65,4)&amp;"h"</f>
        <v>2060h</v>
      </c>
      <c r="D65" t="s">
        <v>92</v>
      </c>
      <c r="F65" t="s">
        <v>93</v>
      </c>
      <c r="G65" t="s">
        <v>11</v>
      </c>
      <c r="H65" t="s">
        <v>27</v>
      </c>
      <c r="I65">
        <v>1024</v>
      </c>
    </row>
    <row r="66" spans="2:9" ht="9.75" customHeight="1" x14ac:dyDescent="0.15">
      <c r="B66">
        <f t="shared" ref="B66" si="4">B65+1</f>
        <v>8289</v>
      </c>
      <c r="C66" t="str">
        <f>DEC2HEX(B66,4)&amp;"h"</f>
        <v>2061h</v>
      </c>
      <c r="D66" t="s">
        <v>94</v>
      </c>
      <c r="E66" t="s">
        <v>95</v>
      </c>
      <c r="F66" t="s">
        <v>96</v>
      </c>
      <c r="G66" t="s">
        <v>11</v>
      </c>
      <c r="H66" t="s">
        <v>27</v>
      </c>
      <c r="I66">
        <v>0</v>
      </c>
    </row>
    <row r="67" spans="2:9" ht="9.75" customHeight="1" x14ac:dyDescent="0.15">
      <c r="B67">
        <f t="shared" ref="B67:B87" si="5">B66+1</f>
        <v>8290</v>
      </c>
      <c r="C67" t="str">
        <f t="shared" ref="C67:C85" si="6">DEC2HEX(B67,4)&amp;"h"</f>
        <v>2062h</v>
      </c>
      <c r="D67" t="s">
        <v>97</v>
      </c>
      <c r="E67" t="s">
        <v>120</v>
      </c>
      <c r="F67" t="s">
        <v>121</v>
      </c>
      <c r="G67" t="s">
        <v>11</v>
      </c>
      <c r="H67" t="s">
        <v>27</v>
      </c>
      <c r="I67">
        <v>200</v>
      </c>
    </row>
    <row r="68" spans="2:9" ht="9.75" customHeight="1" x14ac:dyDescent="0.15">
      <c r="B68">
        <f t="shared" si="5"/>
        <v>8291</v>
      </c>
      <c r="C68" t="str">
        <f t="shared" si="6"/>
        <v>2063h</v>
      </c>
      <c r="D68" t="s">
        <v>98</v>
      </c>
      <c r="E68" t="s">
        <v>122</v>
      </c>
      <c r="F68" t="s">
        <v>123</v>
      </c>
      <c r="G68" t="s">
        <v>11</v>
      </c>
      <c r="H68" t="s">
        <v>27</v>
      </c>
      <c r="I68">
        <v>150</v>
      </c>
    </row>
    <row r="69" spans="2:9" ht="9.75" customHeight="1" x14ac:dyDescent="0.15">
      <c r="B69">
        <f t="shared" si="5"/>
        <v>8292</v>
      </c>
      <c r="C69" t="str">
        <f t="shared" si="6"/>
        <v>2064h</v>
      </c>
      <c r="D69" t="s">
        <v>99</v>
      </c>
      <c r="E69" t="s">
        <v>122</v>
      </c>
      <c r="F69" t="s">
        <v>121</v>
      </c>
      <c r="G69" t="s">
        <v>11</v>
      </c>
      <c r="H69" t="s">
        <v>27</v>
      </c>
      <c r="I69">
        <v>300</v>
      </c>
    </row>
    <row r="70" spans="2:9" ht="9.75" customHeight="1" x14ac:dyDescent="0.15">
      <c r="B70">
        <f t="shared" si="5"/>
        <v>8293</v>
      </c>
      <c r="C70" t="str">
        <f t="shared" si="6"/>
        <v>2065h</v>
      </c>
      <c r="D70" t="s">
        <v>100</v>
      </c>
      <c r="E70" t="s">
        <v>124</v>
      </c>
      <c r="F70" t="s">
        <v>125</v>
      </c>
      <c r="G70" t="s">
        <v>11</v>
      </c>
      <c r="H70" t="s">
        <v>27</v>
      </c>
      <c r="I70">
        <v>300</v>
      </c>
    </row>
    <row r="71" spans="2:9" ht="9.75" customHeight="1" x14ac:dyDescent="0.15">
      <c r="B71">
        <f t="shared" si="5"/>
        <v>8294</v>
      </c>
      <c r="C71" t="str">
        <f t="shared" si="6"/>
        <v>2066h</v>
      </c>
      <c r="D71" t="s">
        <v>101</v>
      </c>
      <c r="E71" t="s">
        <v>126</v>
      </c>
      <c r="F71" t="s">
        <v>127</v>
      </c>
      <c r="G71" t="s">
        <v>11</v>
      </c>
      <c r="H71" t="s">
        <v>27</v>
      </c>
      <c r="I71">
        <v>409</v>
      </c>
    </row>
    <row r="72" spans="2:9" ht="9.75" customHeight="1" x14ac:dyDescent="0.15">
      <c r="B72">
        <f t="shared" si="5"/>
        <v>8295</v>
      </c>
      <c r="C72" t="str">
        <f t="shared" si="6"/>
        <v>2067h</v>
      </c>
      <c r="D72" t="s">
        <v>102</v>
      </c>
      <c r="F72" t="s">
        <v>128</v>
      </c>
      <c r="G72" t="s">
        <v>11</v>
      </c>
      <c r="H72" t="s">
        <v>27</v>
      </c>
      <c r="I72">
        <v>1000</v>
      </c>
    </row>
    <row r="73" spans="2:9" ht="9.75" customHeight="1" x14ac:dyDescent="0.15">
      <c r="B73">
        <f t="shared" si="5"/>
        <v>8296</v>
      </c>
      <c r="C73" t="str">
        <f t="shared" si="6"/>
        <v>2068h</v>
      </c>
      <c r="D73" t="s">
        <v>103</v>
      </c>
      <c r="F73" t="s">
        <v>128</v>
      </c>
      <c r="G73" t="s">
        <v>11</v>
      </c>
      <c r="H73" t="s">
        <v>27</v>
      </c>
      <c r="I73">
        <v>600</v>
      </c>
    </row>
    <row r="74" spans="2:9" ht="9.75" customHeight="1" x14ac:dyDescent="0.15">
      <c r="B74">
        <f t="shared" si="5"/>
        <v>8297</v>
      </c>
      <c r="C74" t="str">
        <f t="shared" si="6"/>
        <v>2069h</v>
      </c>
      <c r="D74" t="s">
        <v>104</v>
      </c>
      <c r="F74" t="s">
        <v>128</v>
      </c>
      <c r="G74" t="s">
        <v>11</v>
      </c>
      <c r="H74" t="s">
        <v>27</v>
      </c>
      <c r="I74">
        <v>300</v>
      </c>
    </row>
    <row r="75" spans="2:9" ht="9.75" customHeight="1" x14ac:dyDescent="0.15">
      <c r="B75">
        <f t="shared" si="5"/>
        <v>8298</v>
      </c>
      <c r="C75" t="str">
        <f t="shared" si="6"/>
        <v>206Ah</v>
      </c>
      <c r="D75" t="s">
        <v>105</v>
      </c>
      <c r="F75" t="s">
        <v>128</v>
      </c>
      <c r="G75" t="s">
        <v>11</v>
      </c>
      <c r="H75" t="s">
        <v>27</v>
      </c>
      <c r="I75">
        <v>100</v>
      </c>
    </row>
    <row r="76" spans="2:9" ht="9.75" customHeight="1" x14ac:dyDescent="0.15">
      <c r="B76">
        <f t="shared" si="5"/>
        <v>8299</v>
      </c>
      <c r="C76" t="str">
        <f t="shared" si="6"/>
        <v>206Bh</v>
      </c>
      <c r="D76" t="s">
        <v>106</v>
      </c>
      <c r="F76" t="s">
        <v>128</v>
      </c>
      <c r="G76" t="s">
        <v>11</v>
      </c>
      <c r="H76" t="s">
        <v>27</v>
      </c>
      <c r="I76">
        <v>100</v>
      </c>
    </row>
    <row r="77" spans="2:9" ht="9.75" customHeight="1" x14ac:dyDescent="0.15">
      <c r="B77">
        <f t="shared" si="5"/>
        <v>8300</v>
      </c>
      <c r="C77" t="str">
        <f t="shared" si="6"/>
        <v>206Ch</v>
      </c>
      <c r="D77" t="s">
        <v>107</v>
      </c>
      <c r="F77" t="s">
        <v>128</v>
      </c>
      <c r="G77" t="s">
        <v>11</v>
      </c>
      <c r="H77" t="s">
        <v>27</v>
      </c>
      <c r="I77">
        <v>500</v>
      </c>
    </row>
    <row r="78" spans="2:9" ht="9.75" customHeight="1" x14ac:dyDescent="0.15">
      <c r="B78">
        <f t="shared" si="5"/>
        <v>8301</v>
      </c>
      <c r="C78" t="str">
        <f t="shared" si="6"/>
        <v>206Dh</v>
      </c>
      <c r="D78" t="s">
        <v>108</v>
      </c>
      <c r="F78" t="s">
        <v>128</v>
      </c>
      <c r="G78" t="s">
        <v>11</v>
      </c>
      <c r="H78" t="s">
        <v>27</v>
      </c>
      <c r="I78">
        <v>100</v>
      </c>
    </row>
    <row r="79" spans="2:9" ht="9.75" customHeight="1" x14ac:dyDescent="0.15">
      <c r="B79">
        <f t="shared" si="5"/>
        <v>8302</v>
      </c>
      <c r="C79" t="str">
        <f t="shared" si="6"/>
        <v>206Eh</v>
      </c>
      <c r="D79" t="s">
        <v>109</v>
      </c>
      <c r="F79" t="s">
        <v>128</v>
      </c>
      <c r="G79" t="s">
        <v>11</v>
      </c>
      <c r="H79" t="s">
        <v>27</v>
      </c>
      <c r="I79">
        <v>500</v>
      </c>
    </row>
    <row r="80" spans="2:9" ht="9.75" customHeight="1" x14ac:dyDescent="0.15">
      <c r="B80">
        <f t="shared" si="5"/>
        <v>8303</v>
      </c>
      <c r="C80" t="str">
        <f t="shared" si="6"/>
        <v>206Fh</v>
      </c>
      <c r="D80" t="s">
        <v>110</v>
      </c>
      <c r="F80" t="s">
        <v>128</v>
      </c>
      <c r="G80" t="s">
        <v>11</v>
      </c>
      <c r="H80" t="s">
        <v>27</v>
      </c>
      <c r="I80">
        <v>100</v>
      </c>
    </row>
    <row r="81" spans="1:9" ht="9.75" customHeight="1" x14ac:dyDescent="0.15">
      <c r="B81">
        <f t="shared" si="5"/>
        <v>8304</v>
      </c>
      <c r="C81" t="str">
        <f t="shared" si="6"/>
        <v>2070h</v>
      </c>
      <c r="D81" t="s">
        <v>111</v>
      </c>
      <c r="F81" t="s">
        <v>128</v>
      </c>
      <c r="G81" t="s">
        <v>11</v>
      </c>
      <c r="H81" t="s">
        <v>27</v>
      </c>
      <c r="I81">
        <v>50</v>
      </c>
    </row>
    <row r="82" spans="1:9" ht="9.75" customHeight="1" x14ac:dyDescent="0.15">
      <c r="B82">
        <f t="shared" si="5"/>
        <v>8305</v>
      </c>
      <c r="C82" t="str">
        <f t="shared" si="6"/>
        <v>2071h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</row>
    <row r="83" spans="1:9" ht="9.75" customHeight="1" x14ac:dyDescent="0.15">
      <c r="B83">
        <f t="shared" si="5"/>
        <v>8306</v>
      </c>
      <c r="C83" t="str">
        <f t="shared" si="6"/>
        <v>2072h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</row>
    <row r="84" spans="1:9" ht="9.75" customHeight="1" x14ac:dyDescent="0.15">
      <c r="B84">
        <f t="shared" si="5"/>
        <v>8307</v>
      </c>
      <c r="C84" t="str">
        <f t="shared" si="6"/>
        <v>2073h</v>
      </c>
      <c r="D84" t="s">
        <v>112</v>
      </c>
      <c r="E84" t="s">
        <v>136</v>
      </c>
      <c r="F84" t="s">
        <v>134</v>
      </c>
      <c r="G84" t="s">
        <v>11</v>
      </c>
      <c r="H84" t="s">
        <v>27</v>
      </c>
      <c r="I84" t="s">
        <v>129</v>
      </c>
    </row>
    <row r="85" spans="1:9" ht="9.75" customHeight="1" x14ac:dyDescent="0.15">
      <c r="B85">
        <f t="shared" si="5"/>
        <v>8308</v>
      </c>
      <c r="C85" t="str">
        <f t="shared" si="6"/>
        <v>2074h</v>
      </c>
      <c r="D85" t="s">
        <v>113</v>
      </c>
      <c r="E85" t="s">
        <v>135</v>
      </c>
      <c r="F85" t="s">
        <v>134</v>
      </c>
      <c r="G85" t="s">
        <v>11</v>
      </c>
      <c r="H85" t="s">
        <v>27</v>
      </c>
      <c r="I85" t="s">
        <v>129</v>
      </c>
    </row>
    <row r="86" spans="1:9" ht="9.75" customHeight="1" x14ac:dyDescent="0.15">
      <c r="B86">
        <f t="shared" si="5"/>
        <v>8309</v>
      </c>
      <c r="C86" t="str">
        <f t="shared" ref="C86:C91" si="7">DEC2HEX(B86,4)&amp;"h"</f>
        <v>2075h</v>
      </c>
      <c r="D86" t="s">
        <v>114</v>
      </c>
      <c r="F86" t="s">
        <v>133</v>
      </c>
      <c r="G86" t="s">
        <v>11</v>
      </c>
      <c r="H86" t="s">
        <v>27</v>
      </c>
      <c r="I86">
        <v>15</v>
      </c>
    </row>
    <row r="87" spans="1:9" ht="9.75" customHeight="1" x14ac:dyDescent="0.15">
      <c r="B87">
        <f t="shared" si="5"/>
        <v>8310</v>
      </c>
      <c r="C87" t="str">
        <f t="shared" si="7"/>
        <v>2076h</v>
      </c>
      <c r="D87" t="s">
        <v>115</v>
      </c>
      <c r="E87" t="s">
        <v>131</v>
      </c>
      <c r="F87" t="s">
        <v>132</v>
      </c>
      <c r="G87" t="s">
        <v>11</v>
      </c>
      <c r="H87" t="s">
        <v>27</v>
      </c>
      <c r="I87">
        <v>800</v>
      </c>
    </row>
    <row r="88" spans="1:9" ht="9.75" customHeight="1" x14ac:dyDescent="0.15">
      <c r="B88">
        <f t="shared" ref="B88:B91" si="8">B87+1</f>
        <v>8311</v>
      </c>
      <c r="C88" t="str">
        <f t="shared" si="7"/>
        <v>2077h</v>
      </c>
      <c r="D88" t="s">
        <v>116</v>
      </c>
      <c r="F88" t="s">
        <v>130</v>
      </c>
      <c r="G88" t="s">
        <v>11</v>
      </c>
      <c r="H88" t="s">
        <v>27</v>
      </c>
      <c r="I88">
        <v>1000</v>
      </c>
    </row>
    <row r="89" spans="1:9" ht="9.75" customHeight="1" x14ac:dyDescent="0.15">
      <c r="B89">
        <f t="shared" si="8"/>
        <v>8312</v>
      </c>
      <c r="C89" t="str">
        <f t="shared" si="7"/>
        <v>2078h</v>
      </c>
      <c r="D89" t="s">
        <v>117</v>
      </c>
      <c r="F89" t="s">
        <v>130</v>
      </c>
      <c r="G89" t="s">
        <v>11</v>
      </c>
      <c r="H89" t="s">
        <v>27</v>
      </c>
      <c r="I89">
        <v>750</v>
      </c>
    </row>
    <row r="90" spans="1:9" ht="9.75" customHeight="1" x14ac:dyDescent="0.15">
      <c r="B90">
        <f t="shared" si="8"/>
        <v>8313</v>
      </c>
      <c r="C90" t="str">
        <f t="shared" si="7"/>
        <v>2079h</v>
      </c>
      <c r="D90" t="s">
        <v>118</v>
      </c>
      <c r="F90" t="s">
        <v>130</v>
      </c>
      <c r="G90" t="s">
        <v>11</v>
      </c>
      <c r="H90" t="s">
        <v>27</v>
      </c>
      <c r="I90">
        <v>350</v>
      </c>
    </row>
    <row r="91" spans="1:9" ht="9.75" customHeight="1" x14ac:dyDescent="0.15">
      <c r="B91">
        <f t="shared" si="8"/>
        <v>8314</v>
      </c>
      <c r="C91" t="str">
        <f t="shared" si="7"/>
        <v>207Ah</v>
      </c>
      <c r="D91" t="s">
        <v>119</v>
      </c>
      <c r="F91" t="s">
        <v>130</v>
      </c>
      <c r="G91" t="s">
        <v>11</v>
      </c>
      <c r="H91" t="s">
        <v>27</v>
      </c>
      <c r="I91">
        <v>1000</v>
      </c>
    </row>
    <row r="92" spans="1:9" ht="9.75" customHeight="1" x14ac:dyDescent="0.15">
      <c r="A92" t="s">
        <v>90</v>
      </c>
    </row>
    <row r="93" spans="1:9" ht="9.75" customHeight="1" x14ac:dyDescent="0.15">
      <c r="B93">
        <v>8320</v>
      </c>
      <c r="C93" t="str">
        <f>DEC2HEX(B93,4)&amp;"h"</f>
        <v>2080h</v>
      </c>
      <c r="D93" t="s">
        <v>173</v>
      </c>
      <c r="E93" t="s">
        <v>204</v>
      </c>
      <c r="F93" t="s">
        <v>205</v>
      </c>
      <c r="G93" t="s">
        <v>11</v>
      </c>
      <c r="H93" t="s">
        <v>27</v>
      </c>
    </row>
    <row r="94" spans="1:9" ht="9.75" customHeight="1" x14ac:dyDescent="0.15">
      <c r="B94">
        <f t="shared" ref="B94" si="9">B93+1</f>
        <v>8321</v>
      </c>
      <c r="C94" t="str">
        <f>DEC2HEX(B94,4)&amp;"h"</f>
        <v>2081h</v>
      </c>
      <c r="D94" t="s">
        <v>174</v>
      </c>
      <c r="E94" t="s">
        <v>204</v>
      </c>
      <c r="F94" t="s">
        <v>205</v>
      </c>
      <c r="G94" t="s">
        <v>11</v>
      </c>
      <c r="H94" t="s">
        <v>27</v>
      </c>
      <c r="I94" t="s">
        <v>203</v>
      </c>
    </row>
    <row r="95" spans="1:9" ht="9.75" customHeight="1" x14ac:dyDescent="0.15">
      <c r="B95">
        <f t="shared" ref="B95:B110" si="10">B94+1</f>
        <v>8322</v>
      </c>
      <c r="C95" t="str">
        <f t="shared" ref="C95:C128" si="11">DEC2HEX(B95,4)&amp;"h"</f>
        <v>2082h</v>
      </c>
      <c r="D95" t="s">
        <v>175</v>
      </c>
      <c r="E95" t="s">
        <v>206</v>
      </c>
      <c r="F95" t="s">
        <v>205</v>
      </c>
      <c r="G95" t="s">
        <v>11</v>
      </c>
      <c r="H95" t="s">
        <v>27</v>
      </c>
      <c r="I95" t="s">
        <v>203</v>
      </c>
    </row>
    <row r="96" spans="1:9" ht="9.75" customHeight="1" x14ac:dyDescent="0.15">
      <c r="B96">
        <f t="shared" si="10"/>
        <v>8323</v>
      </c>
      <c r="C96" t="str">
        <f t="shared" si="11"/>
        <v>2083h</v>
      </c>
      <c r="D96" t="s">
        <v>176</v>
      </c>
      <c r="E96" t="s">
        <v>206</v>
      </c>
      <c r="F96" t="s">
        <v>205</v>
      </c>
      <c r="G96" t="s">
        <v>11</v>
      </c>
      <c r="H96" t="s">
        <v>27</v>
      </c>
      <c r="I96" t="s">
        <v>203</v>
      </c>
    </row>
    <row r="97" spans="1:9" ht="9.75" customHeight="1" x14ac:dyDescent="0.15">
      <c r="B97">
        <f t="shared" si="10"/>
        <v>8324</v>
      </c>
      <c r="C97" t="str">
        <f t="shared" si="11"/>
        <v>2084h</v>
      </c>
      <c r="D97" t="s">
        <v>177</v>
      </c>
      <c r="E97" t="s">
        <v>206</v>
      </c>
      <c r="F97" t="s">
        <v>205</v>
      </c>
      <c r="G97" t="s">
        <v>11</v>
      </c>
      <c r="H97" t="s">
        <v>27</v>
      </c>
      <c r="I97" t="s">
        <v>203</v>
      </c>
    </row>
    <row r="98" spans="1:9" ht="9.75" customHeight="1" x14ac:dyDescent="0.15">
      <c r="B98">
        <f t="shared" si="10"/>
        <v>8325</v>
      </c>
      <c r="C98" t="str">
        <f t="shared" si="11"/>
        <v>2085h</v>
      </c>
      <c r="D98" t="s">
        <v>178</v>
      </c>
      <c r="E98" t="s">
        <v>206</v>
      </c>
      <c r="F98" t="s">
        <v>205</v>
      </c>
      <c r="G98" t="s">
        <v>11</v>
      </c>
      <c r="H98" t="s">
        <v>27</v>
      </c>
      <c r="I98" t="s">
        <v>202</v>
      </c>
    </row>
    <row r="99" spans="1:9" ht="9.75" customHeight="1" x14ac:dyDescent="0.15">
      <c r="B99">
        <f t="shared" si="10"/>
        <v>8326</v>
      </c>
      <c r="C99" t="str">
        <f t="shared" si="11"/>
        <v>2086h</v>
      </c>
      <c r="D99" t="s">
        <v>179</v>
      </c>
      <c r="E99" t="s">
        <v>200</v>
      </c>
      <c r="F99" t="s">
        <v>205</v>
      </c>
      <c r="G99" t="s">
        <v>11</v>
      </c>
      <c r="H99" t="s">
        <v>27</v>
      </c>
      <c r="I99" t="s">
        <v>202</v>
      </c>
    </row>
    <row r="100" spans="1:9" ht="9.75" customHeight="1" x14ac:dyDescent="0.15">
      <c r="B100">
        <f t="shared" si="10"/>
        <v>8327</v>
      </c>
      <c r="C100" t="str">
        <f t="shared" si="11"/>
        <v>2087h</v>
      </c>
      <c r="D100" t="s">
        <v>180</v>
      </c>
      <c r="E100" t="s">
        <v>200</v>
      </c>
      <c r="F100" t="s">
        <v>205</v>
      </c>
      <c r="G100" t="s">
        <v>11</v>
      </c>
      <c r="H100" t="s">
        <v>27</v>
      </c>
      <c r="I100" t="s">
        <v>201</v>
      </c>
    </row>
    <row r="101" spans="1:9" ht="9.75" customHeight="1" x14ac:dyDescent="0.15">
      <c r="B101">
        <f t="shared" si="10"/>
        <v>8328</v>
      </c>
      <c r="C101" t="str">
        <f t="shared" si="11"/>
        <v>2088h</v>
      </c>
      <c r="D101" t="s">
        <v>181</v>
      </c>
      <c r="E101" t="s">
        <v>198</v>
      </c>
      <c r="F101" t="s">
        <v>199</v>
      </c>
      <c r="G101" t="s">
        <v>11</v>
      </c>
      <c r="H101" t="s">
        <v>27</v>
      </c>
      <c r="I101" t="s">
        <v>201</v>
      </c>
    </row>
    <row r="102" spans="1:9" ht="9.75" customHeight="1" x14ac:dyDescent="0.15">
      <c r="B102">
        <f t="shared" si="10"/>
        <v>8329</v>
      </c>
      <c r="C102" t="str">
        <f t="shared" si="11"/>
        <v>2089h</v>
      </c>
      <c r="D102" t="s">
        <v>182</v>
      </c>
      <c r="E102" t="s">
        <v>198</v>
      </c>
      <c r="F102" t="s">
        <v>199</v>
      </c>
      <c r="G102" t="s">
        <v>11</v>
      </c>
      <c r="H102" t="s">
        <v>27</v>
      </c>
      <c r="I102">
        <v>0</v>
      </c>
    </row>
    <row r="103" spans="1:9" ht="9.75" customHeight="1" x14ac:dyDescent="0.15">
      <c r="B103">
        <f t="shared" si="10"/>
        <v>8330</v>
      </c>
      <c r="C103" t="str">
        <f t="shared" si="11"/>
        <v>208Ah</v>
      </c>
      <c r="D103" t="s">
        <v>183</v>
      </c>
      <c r="E103" t="s">
        <v>196</v>
      </c>
      <c r="F103" t="s">
        <v>197</v>
      </c>
      <c r="G103" t="s">
        <v>11</v>
      </c>
      <c r="H103" t="s">
        <v>27</v>
      </c>
      <c r="I103">
        <v>0</v>
      </c>
    </row>
    <row r="104" spans="1:9" ht="9.75" customHeight="1" x14ac:dyDescent="0.15">
      <c r="B104">
        <f t="shared" si="10"/>
        <v>8331</v>
      </c>
      <c r="C104" t="str">
        <f t="shared" si="11"/>
        <v>208Bh</v>
      </c>
      <c r="D104" t="s">
        <v>184</v>
      </c>
      <c r="E104" t="s">
        <v>196</v>
      </c>
      <c r="F104" t="s">
        <v>197</v>
      </c>
      <c r="G104" t="s">
        <v>11</v>
      </c>
      <c r="H104" t="s">
        <v>27</v>
      </c>
      <c r="I104">
        <v>0</v>
      </c>
    </row>
    <row r="105" spans="1:9" ht="9.75" customHeight="1" x14ac:dyDescent="0.15">
      <c r="B105">
        <f t="shared" si="10"/>
        <v>8332</v>
      </c>
      <c r="C105" t="str">
        <f t="shared" si="11"/>
        <v>208Ch</v>
      </c>
      <c r="D105" t="s">
        <v>185</v>
      </c>
      <c r="E105" t="s">
        <v>196</v>
      </c>
      <c r="F105" t="s">
        <v>197</v>
      </c>
      <c r="G105" t="s">
        <v>11</v>
      </c>
      <c r="H105" t="s">
        <v>27</v>
      </c>
      <c r="I105">
        <v>0</v>
      </c>
    </row>
    <row r="106" spans="1:9" ht="9.75" customHeight="1" x14ac:dyDescent="0.15">
      <c r="B106">
        <f t="shared" si="10"/>
        <v>8333</v>
      </c>
      <c r="C106" t="str">
        <f t="shared" si="11"/>
        <v>208Dh</v>
      </c>
      <c r="D106" t="s">
        <v>186</v>
      </c>
      <c r="E106" t="s">
        <v>196</v>
      </c>
      <c r="F106" t="s">
        <v>197</v>
      </c>
      <c r="G106" t="s">
        <v>11</v>
      </c>
      <c r="H106" t="s">
        <v>27</v>
      </c>
      <c r="I106">
        <v>0</v>
      </c>
    </row>
    <row r="107" spans="1:9" ht="9.75" customHeight="1" x14ac:dyDescent="0.15">
      <c r="B107">
        <f t="shared" si="10"/>
        <v>8334</v>
      </c>
      <c r="C107" t="str">
        <f t="shared" si="11"/>
        <v>208Eh</v>
      </c>
      <c r="D107" t="s">
        <v>187</v>
      </c>
      <c r="E107" t="s">
        <v>194</v>
      </c>
      <c r="F107" t="s">
        <v>195</v>
      </c>
      <c r="G107" t="s">
        <v>11</v>
      </c>
      <c r="H107" t="s">
        <v>27</v>
      </c>
      <c r="I107" t="s">
        <v>193</v>
      </c>
    </row>
    <row r="108" spans="1:9" ht="9.75" customHeight="1" x14ac:dyDescent="0.15">
      <c r="B108">
        <f t="shared" si="10"/>
        <v>8335</v>
      </c>
      <c r="C108" t="str">
        <f t="shared" si="11"/>
        <v>208Fh</v>
      </c>
      <c r="D108" t="s">
        <v>188</v>
      </c>
      <c r="E108" t="s">
        <v>194</v>
      </c>
      <c r="F108" t="s">
        <v>195</v>
      </c>
      <c r="G108" t="s">
        <v>11</v>
      </c>
      <c r="H108" t="s">
        <v>27</v>
      </c>
      <c r="I108" t="s">
        <v>193</v>
      </c>
    </row>
    <row r="109" spans="1:9" ht="9.75" customHeight="1" x14ac:dyDescent="0.15">
      <c r="B109">
        <f t="shared" si="10"/>
        <v>8336</v>
      </c>
      <c r="C109" t="str">
        <f t="shared" si="11"/>
        <v>2090h</v>
      </c>
      <c r="D109" t="s">
        <v>189</v>
      </c>
      <c r="E109" t="s">
        <v>191</v>
      </c>
      <c r="F109" t="s">
        <v>192</v>
      </c>
      <c r="G109" t="s">
        <v>11</v>
      </c>
      <c r="H109" t="s">
        <v>27</v>
      </c>
      <c r="I109">
        <v>0</v>
      </c>
    </row>
    <row r="110" spans="1:9" ht="9.75" customHeight="1" x14ac:dyDescent="0.15">
      <c r="B110">
        <f t="shared" si="10"/>
        <v>8337</v>
      </c>
      <c r="C110" t="str">
        <f t="shared" si="11"/>
        <v>2091h</v>
      </c>
      <c r="D110" t="s">
        <v>190</v>
      </c>
      <c r="E110" t="s">
        <v>191</v>
      </c>
      <c r="F110" t="s">
        <v>192</v>
      </c>
      <c r="G110" t="s">
        <v>11</v>
      </c>
      <c r="H110" t="s">
        <v>27</v>
      </c>
      <c r="I110">
        <v>0</v>
      </c>
    </row>
    <row r="111" spans="1:9" ht="9.75" customHeight="1" x14ac:dyDescent="0.15">
      <c r="A111" t="s">
        <v>91</v>
      </c>
    </row>
    <row r="112" spans="1:9" ht="9.75" customHeight="1" x14ac:dyDescent="0.15">
      <c r="B112">
        <v>8352</v>
      </c>
      <c r="C112" t="str">
        <f t="shared" si="11"/>
        <v>20A0h</v>
      </c>
      <c r="D112" t="s">
        <v>148</v>
      </c>
      <c r="E112" t="s">
        <v>6</v>
      </c>
      <c r="G112" t="s">
        <v>11</v>
      </c>
      <c r="H112" t="s">
        <v>137</v>
      </c>
      <c r="I112" t="s">
        <v>141</v>
      </c>
    </row>
    <row r="113" spans="2:9" ht="9.75" customHeight="1" x14ac:dyDescent="0.15">
      <c r="B113">
        <f t="shared" ref="B113" si="12">B112+1</f>
        <v>8353</v>
      </c>
      <c r="C113" t="str">
        <f t="shared" si="11"/>
        <v>20A1h</v>
      </c>
      <c r="D113" t="s">
        <v>149</v>
      </c>
      <c r="E113" t="s">
        <v>150</v>
      </c>
      <c r="G113" t="s">
        <v>11</v>
      </c>
      <c r="H113" t="s">
        <v>137</v>
      </c>
      <c r="I113">
        <v>0</v>
      </c>
    </row>
    <row r="114" spans="2:9" ht="9.75" customHeight="1" x14ac:dyDescent="0.15">
      <c r="B114">
        <f t="shared" ref="B114:B128" si="13">B113+1</f>
        <v>8354</v>
      </c>
      <c r="C114" t="str">
        <f t="shared" si="11"/>
        <v>20A2h</v>
      </c>
      <c r="D114" t="s">
        <v>151</v>
      </c>
      <c r="E114" t="s">
        <v>152</v>
      </c>
      <c r="F114" t="s">
        <v>153</v>
      </c>
      <c r="G114" t="s">
        <v>11</v>
      </c>
      <c r="H114" t="s">
        <v>137</v>
      </c>
      <c r="I114">
        <v>0</v>
      </c>
    </row>
    <row r="115" spans="2:9" ht="9.75" customHeight="1" x14ac:dyDescent="0.15">
      <c r="B115">
        <f t="shared" si="13"/>
        <v>8355</v>
      </c>
      <c r="C115" t="str">
        <f t="shared" si="11"/>
        <v>20A3h</v>
      </c>
      <c r="D115" t="s">
        <v>154</v>
      </c>
      <c r="E115" t="s">
        <v>155</v>
      </c>
      <c r="F115" t="s">
        <v>156</v>
      </c>
      <c r="G115" t="s">
        <v>11</v>
      </c>
      <c r="H115" t="s">
        <v>137</v>
      </c>
      <c r="I115">
        <v>0</v>
      </c>
    </row>
    <row r="116" spans="2:9" ht="9.75" customHeight="1" x14ac:dyDescent="0.15">
      <c r="B116">
        <f t="shared" si="13"/>
        <v>8356</v>
      </c>
      <c r="C116" t="str">
        <f t="shared" si="11"/>
        <v>20A4h</v>
      </c>
      <c r="D116" t="s">
        <v>157</v>
      </c>
      <c r="E116" t="s">
        <v>158</v>
      </c>
      <c r="F116" t="s">
        <v>159</v>
      </c>
      <c r="G116" t="s">
        <v>11</v>
      </c>
      <c r="H116" t="s">
        <v>137</v>
      </c>
      <c r="I116" t="s">
        <v>141</v>
      </c>
    </row>
    <row r="117" spans="2:9" ht="9.75" customHeight="1" x14ac:dyDescent="0.15">
      <c r="B117">
        <f t="shared" si="13"/>
        <v>8357</v>
      </c>
      <c r="C117" t="str">
        <f t="shared" si="11"/>
        <v>20A5h</v>
      </c>
      <c r="D117" t="s">
        <v>160</v>
      </c>
      <c r="E117" t="s">
        <v>161</v>
      </c>
      <c r="F117" s="1" t="s">
        <v>162</v>
      </c>
      <c r="G117" t="s">
        <v>11</v>
      </c>
      <c r="H117" t="s">
        <v>137</v>
      </c>
      <c r="I117">
        <v>0</v>
      </c>
    </row>
    <row r="118" spans="2:9" ht="9.75" customHeight="1" x14ac:dyDescent="0.15">
      <c r="B118">
        <f t="shared" si="13"/>
        <v>8358</v>
      </c>
      <c r="C118" t="str">
        <f t="shared" si="11"/>
        <v>20A6h</v>
      </c>
      <c r="D118" t="s">
        <v>163</v>
      </c>
      <c r="E118" t="s">
        <v>161</v>
      </c>
      <c r="F118" s="1" t="s">
        <v>162</v>
      </c>
      <c r="G118" t="s">
        <v>11</v>
      </c>
      <c r="H118" t="s">
        <v>137</v>
      </c>
      <c r="I118">
        <v>0</v>
      </c>
    </row>
    <row r="119" spans="2:9" ht="9.75" customHeight="1" x14ac:dyDescent="0.15">
      <c r="B119">
        <f t="shared" si="13"/>
        <v>8359</v>
      </c>
      <c r="C119" t="str">
        <f t="shared" si="11"/>
        <v>20A7h</v>
      </c>
      <c r="D119" t="s">
        <v>164</v>
      </c>
      <c r="E119" t="s">
        <v>166</v>
      </c>
      <c r="F119" t="s">
        <v>167</v>
      </c>
      <c r="G119" t="s">
        <v>138</v>
      </c>
      <c r="H119" t="s">
        <v>137</v>
      </c>
      <c r="I119">
        <v>0</v>
      </c>
    </row>
    <row r="120" spans="2:9" ht="9.75" customHeight="1" x14ac:dyDescent="0.15">
      <c r="B120">
        <f t="shared" si="13"/>
        <v>8360</v>
      </c>
      <c r="C120" t="str">
        <f t="shared" si="11"/>
        <v>20A8h</v>
      </c>
      <c r="D120" t="s">
        <v>165</v>
      </c>
      <c r="E120" t="s">
        <v>166</v>
      </c>
      <c r="F120" t="s">
        <v>167</v>
      </c>
      <c r="G120" t="s">
        <v>138</v>
      </c>
      <c r="H120" t="s">
        <v>137</v>
      </c>
      <c r="I120">
        <v>0</v>
      </c>
    </row>
    <row r="121" spans="2:9" ht="9.75" customHeight="1" x14ac:dyDescent="0.15">
      <c r="B121">
        <f t="shared" si="13"/>
        <v>8361</v>
      </c>
      <c r="C121" t="str">
        <f t="shared" si="11"/>
        <v>20A9h</v>
      </c>
      <c r="D121" t="s">
        <v>168</v>
      </c>
      <c r="E121" t="s">
        <v>166</v>
      </c>
      <c r="F121" t="s">
        <v>167</v>
      </c>
      <c r="G121" t="s">
        <v>138</v>
      </c>
      <c r="H121" t="s">
        <v>137</v>
      </c>
      <c r="I121">
        <v>0</v>
      </c>
    </row>
    <row r="122" spans="2:9" ht="9.75" customHeight="1" x14ac:dyDescent="0.15">
      <c r="B122">
        <f t="shared" si="13"/>
        <v>8362</v>
      </c>
      <c r="C122" t="str">
        <f t="shared" si="11"/>
        <v>20AAh</v>
      </c>
      <c r="D122" t="s">
        <v>169</v>
      </c>
      <c r="E122" t="s">
        <v>166</v>
      </c>
      <c r="F122" t="s">
        <v>167</v>
      </c>
      <c r="G122" t="s">
        <v>138</v>
      </c>
      <c r="H122" t="s">
        <v>137</v>
      </c>
      <c r="I122">
        <v>0</v>
      </c>
    </row>
    <row r="123" spans="2:9" ht="9.75" customHeight="1" x14ac:dyDescent="0.15">
      <c r="B123">
        <f t="shared" si="13"/>
        <v>8363</v>
      </c>
      <c r="C123" t="str">
        <f t="shared" si="11"/>
        <v>20ABh</v>
      </c>
      <c r="D123" t="s">
        <v>170</v>
      </c>
      <c r="E123" t="s">
        <v>172</v>
      </c>
      <c r="G123" t="s">
        <v>138</v>
      </c>
      <c r="H123" t="s">
        <v>137</v>
      </c>
      <c r="I123">
        <v>0</v>
      </c>
    </row>
    <row r="124" spans="2:9" ht="9.75" customHeight="1" x14ac:dyDescent="0.15">
      <c r="B124">
        <f t="shared" si="13"/>
        <v>8364</v>
      </c>
      <c r="C124" t="str">
        <f t="shared" si="11"/>
        <v>20ACh</v>
      </c>
      <c r="D124" t="s">
        <v>171</v>
      </c>
      <c r="E124" t="s">
        <v>172</v>
      </c>
      <c r="G124" t="s">
        <v>138</v>
      </c>
      <c r="H124" t="s">
        <v>137</v>
      </c>
      <c r="I124">
        <v>0</v>
      </c>
    </row>
    <row r="125" spans="2:9" ht="9.75" customHeight="1" x14ac:dyDescent="0.15">
      <c r="B125">
        <f t="shared" si="13"/>
        <v>8365</v>
      </c>
      <c r="C125" t="str">
        <f t="shared" si="11"/>
        <v>20ADh</v>
      </c>
      <c r="D125" t="s">
        <v>145</v>
      </c>
      <c r="E125" t="s">
        <v>146</v>
      </c>
      <c r="F125" t="s">
        <v>147</v>
      </c>
      <c r="G125" t="s">
        <v>138</v>
      </c>
      <c r="H125" t="s">
        <v>137</v>
      </c>
      <c r="I125">
        <v>0</v>
      </c>
    </row>
    <row r="126" spans="2:9" ht="9.75" customHeight="1" x14ac:dyDescent="0.15">
      <c r="B126">
        <f t="shared" si="13"/>
        <v>8366</v>
      </c>
      <c r="C126" t="str">
        <f t="shared" si="11"/>
        <v>20AEh</v>
      </c>
      <c r="D126" t="s">
        <v>144</v>
      </c>
      <c r="E126" t="s">
        <v>146</v>
      </c>
      <c r="F126" t="s">
        <v>147</v>
      </c>
      <c r="G126" t="s">
        <v>138</v>
      </c>
      <c r="H126" t="s">
        <v>137</v>
      </c>
      <c r="I126">
        <v>0</v>
      </c>
    </row>
    <row r="127" spans="2:9" ht="9.75" customHeight="1" x14ac:dyDescent="0.15">
      <c r="B127">
        <f t="shared" si="13"/>
        <v>8367</v>
      </c>
      <c r="C127" t="str">
        <f t="shared" si="11"/>
        <v>20AFh</v>
      </c>
      <c r="D127" t="s">
        <v>143</v>
      </c>
      <c r="F127" s="2" t="s">
        <v>142</v>
      </c>
      <c r="G127" t="s">
        <v>138</v>
      </c>
      <c r="H127" t="s">
        <v>137</v>
      </c>
      <c r="I127" t="s">
        <v>141</v>
      </c>
    </row>
    <row r="128" spans="2:9" ht="9.75" customHeight="1" x14ac:dyDescent="0.15">
      <c r="B128">
        <f t="shared" si="13"/>
        <v>8368</v>
      </c>
      <c r="C128" t="str">
        <f t="shared" si="11"/>
        <v>20B0h</v>
      </c>
      <c r="D128" t="s">
        <v>139</v>
      </c>
      <c r="E128" t="s">
        <v>131</v>
      </c>
      <c r="F128" t="s">
        <v>140</v>
      </c>
      <c r="G128" t="s">
        <v>138</v>
      </c>
      <c r="H128" t="s">
        <v>137</v>
      </c>
      <c r="I128" t="s">
        <v>141</v>
      </c>
    </row>
  </sheetData>
  <phoneticPr fontId="1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Magna Arc</dc:creator>
  <cp:lastModifiedBy>Magna Arc</cp:lastModifiedBy>
  <dcterms:created xsi:type="dcterms:W3CDTF">2024-07-23T00:20:05Z</dcterms:created>
  <dcterms:modified xsi:type="dcterms:W3CDTF">2024-08-01T11:05:11Z</dcterms:modified>
</cp:coreProperties>
</file>